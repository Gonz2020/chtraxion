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lo Luna\Documents\karime\"/>
    </mc:Choice>
  </mc:AlternateContent>
  <xr:revisionPtr revIDLastSave="0" documentId="8_{BFDF2B58-66F9-486C-84A4-AEA4F81A050C}" xr6:coauthVersionLast="47" xr6:coauthVersionMax="47" xr10:uidLastSave="{00000000-0000-0000-0000-000000000000}"/>
  <bookViews>
    <workbookView xWindow="-110" yWindow="-110" windowWidth="19420" windowHeight="10300" xr2:uid="{19ED3AD5-A9FC-4FB2-A5EE-3D28CACD1E77}"/>
  </bookViews>
  <sheets>
    <sheet name="Ry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D89" i="1"/>
  <c r="S89" i="1"/>
  <c r="D90" i="1"/>
  <c r="S90" i="1"/>
  <c r="D91" i="1"/>
  <c r="S91" i="1"/>
  <c r="D92" i="1"/>
  <c r="S92" i="1"/>
  <c r="D93" i="1"/>
  <c r="S93" i="1"/>
  <c r="D94" i="1"/>
  <c r="S94" i="1"/>
  <c r="D95" i="1"/>
  <c r="S95" i="1"/>
  <c r="D96" i="1"/>
  <c r="S96" i="1"/>
  <c r="D97" i="1"/>
  <c r="S97" i="1"/>
  <c r="D98" i="1"/>
  <c r="S98" i="1"/>
  <c r="D99" i="1"/>
  <c r="S99" i="1"/>
  <c r="D100" i="1"/>
  <c r="S100" i="1"/>
  <c r="D101" i="1"/>
  <c r="S101" i="1"/>
  <c r="D102" i="1"/>
  <c r="S102" i="1"/>
  <c r="D103" i="1"/>
  <c r="S103" i="1"/>
  <c r="D104" i="1"/>
  <c r="S104" i="1"/>
  <c r="D105" i="1"/>
  <c r="S105" i="1"/>
  <c r="D106" i="1"/>
  <c r="S106" i="1"/>
  <c r="D107" i="1"/>
  <c r="S107" i="1"/>
  <c r="D108" i="1"/>
  <c r="S108" i="1"/>
  <c r="D109" i="1"/>
  <c r="S109" i="1"/>
  <c r="D110" i="1"/>
  <c r="S110" i="1"/>
  <c r="D111" i="1"/>
  <c r="S111" i="1"/>
  <c r="D112" i="1"/>
  <c r="S112" i="1"/>
  <c r="D113" i="1"/>
  <c r="S113" i="1"/>
  <c r="D114" i="1"/>
  <c r="S114" i="1"/>
  <c r="D115" i="1"/>
  <c r="S115" i="1"/>
  <c r="D116" i="1"/>
  <c r="S116" i="1"/>
  <c r="D117" i="1"/>
  <c r="S117" i="1"/>
  <c r="D118" i="1"/>
  <c r="S118" i="1"/>
  <c r="D119" i="1"/>
  <c r="S119" i="1"/>
  <c r="D120" i="1"/>
  <c r="S120" i="1"/>
  <c r="D121" i="1"/>
  <c r="S121" i="1"/>
  <c r="D122" i="1"/>
  <c r="S122" i="1"/>
  <c r="D123" i="1"/>
  <c r="S123" i="1"/>
  <c r="D124" i="1"/>
  <c r="S124" i="1"/>
  <c r="D125" i="1"/>
  <c r="S125" i="1"/>
  <c r="D126" i="1"/>
  <c r="S126" i="1"/>
  <c r="D127" i="1"/>
  <c r="S127" i="1"/>
  <c r="D128" i="1"/>
  <c r="S128" i="1"/>
  <c r="D129" i="1"/>
  <c r="S129" i="1"/>
  <c r="D130" i="1"/>
  <c r="S130" i="1"/>
  <c r="D131" i="1"/>
  <c r="S131" i="1"/>
  <c r="D132" i="1"/>
  <c r="S132" i="1"/>
  <c r="D133" i="1"/>
  <c r="S133" i="1"/>
  <c r="D134" i="1"/>
  <c r="S134" i="1"/>
  <c r="D135" i="1"/>
  <c r="S135" i="1"/>
  <c r="D136" i="1"/>
  <c r="S136" i="1"/>
  <c r="D137" i="1"/>
  <c r="S137" i="1"/>
  <c r="D138" i="1"/>
  <c r="S138" i="1"/>
  <c r="D139" i="1"/>
  <c r="S139" i="1"/>
  <c r="D140" i="1"/>
  <c r="S140" i="1"/>
  <c r="D141" i="1"/>
  <c r="S141" i="1"/>
  <c r="D142" i="1"/>
  <c r="S142" i="1"/>
  <c r="D143" i="1"/>
  <c r="S143" i="1"/>
  <c r="D144" i="1"/>
  <c r="S144" i="1"/>
  <c r="D145" i="1"/>
  <c r="S145" i="1"/>
  <c r="D146" i="1"/>
  <c r="S146" i="1"/>
  <c r="D147" i="1"/>
  <c r="S147" i="1"/>
  <c r="D148" i="1"/>
  <c r="S148" i="1"/>
  <c r="D149" i="1"/>
  <c r="S149" i="1"/>
  <c r="D150" i="1"/>
  <c r="S150" i="1"/>
  <c r="D151" i="1"/>
  <c r="S151" i="1"/>
  <c r="D152" i="1"/>
  <c r="S152" i="1"/>
  <c r="D153" i="1"/>
  <c r="S153" i="1"/>
  <c r="D154" i="1"/>
  <c r="S154" i="1"/>
  <c r="D155" i="1"/>
  <c r="S155" i="1"/>
  <c r="D156" i="1"/>
  <c r="S156" i="1"/>
  <c r="D157" i="1"/>
  <c r="S157" i="1"/>
  <c r="D158" i="1"/>
  <c r="S158" i="1"/>
  <c r="D159" i="1"/>
  <c r="S159" i="1"/>
  <c r="D160" i="1"/>
  <c r="S160" i="1"/>
  <c r="D161" i="1"/>
  <c r="S161" i="1"/>
  <c r="D162" i="1"/>
  <c r="S162" i="1"/>
  <c r="D163" i="1"/>
  <c r="S163" i="1"/>
  <c r="D164" i="1"/>
  <c r="S164" i="1"/>
  <c r="D165" i="1"/>
  <c r="S165" i="1"/>
  <c r="D166" i="1"/>
  <c r="S166" i="1"/>
  <c r="D167" i="1"/>
  <c r="S167" i="1"/>
  <c r="D168" i="1"/>
  <c r="S168" i="1"/>
  <c r="D169" i="1"/>
  <c r="S169" i="1"/>
  <c r="D170" i="1"/>
  <c r="S170" i="1"/>
  <c r="D171" i="1"/>
  <c r="S171" i="1"/>
  <c r="D172" i="1"/>
  <c r="S172" i="1"/>
  <c r="D173" i="1"/>
  <c r="S173" i="1"/>
  <c r="D174" i="1"/>
  <c r="S174" i="1"/>
  <c r="D175" i="1"/>
  <c r="S175" i="1"/>
  <c r="D176" i="1"/>
  <c r="S176" i="1"/>
  <c r="D177" i="1"/>
  <c r="S177" i="1"/>
  <c r="D178" i="1"/>
  <c r="S178" i="1"/>
  <c r="D179" i="1"/>
  <c r="S179" i="1"/>
  <c r="D180" i="1"/>
  <c r="S180" i="1"/>
  <c r="D181" i="1"/>
  <c r="S181" i="1"/>
  <c r="D182" i="1"/>
  <c r="S182" i="1"/>
  <c r="D183" i="1"/>
  <c r="S183" i="1"/>
  <c r="D184" i="1"/>
  <c r="S184" i="1"/>
  <c r="D185" i="1"/>
  <c r="S185" i="1"/>
  <c r="D186" i="1"/>
  <c r="S186" i="1"/>
  <c r="D187" i="1"/>
  <c r="S187" i="1"/>
  <c r="D188" i="1"/>
  <c r="S188" i="1"/>
  <c r="D189" i="1"/>
  <c r="S189" i="1"/>
  <c r="D190" i="1"/>
  <c r="S190" i="1"/>
  <c r="D191" i="1"/>
  <c r="S191" i="1"/>
  <c r="D192" i="1"/>
  <c r="S192" i="1"/>
  <c r="D193" i="1"/>
  <c r="S193" i="1"/>
  <c r="D194" i="1"/>
  <c r="S194" i="1"/>
  <c r="D195" i="1"/>
  <c r="S195" i="1"/>
  <c r="D196" i="1"/>
  <c r="S196" i="1"/>
  <c r="D197" i="1"/>
  <c r="S197" i="1"/>
  <c r="D198" i="1"/>
  <c r="S198" i="1"/>
  <c r="D199" i="1"/>
  <c r="S199" i="1"/>
  <c r="D200" i="1"/>
  <c r="S200" i="1"/>
  <c r="D201" i="1"/>
  <c r="S201" i="1"/>
  <c r="D202" i="1"/>
  <c r="S202" i="1"/>
  <c r="D203" i="1"/>
  <c r="S203" i="1"/>
  <c r="D204" i="1"/>
  <c r="S204" i="1"/>
  <c r="D205" i="1"/>
  <c r="S205" i="1"/>
  <c r="D206" i="1"/>
  <c r="S206" i="1"/>
  <c r="D207" i="1"/>
  <c r="S207" i="1"/>
  <c r="D208" i="1"/>
  <c r="S208" i="1"/>
  <c r="D209" i="1"/>
  <c r="S209" i="1"/>
  <c r="D210" i="1"/>
  <c r="S210" i="1"/>
  <c r="D211" i="1"/>
  <c r="S211" i="1"/>
  <c r="D212" i="1"/>
  <c r="S212" i="1"/>
  <c r="D213" i="1"/>
  <c r="S213" i="1"/>
  <c r="D214" i="1"/>
  <c r="S214" i="1"/>
  <c r="D215" i="1"/>
  <c r="S215" i="1"/>
  <c r="D216" i="1"/>
  <c r="S216" i="1"/>
  <c r="D217" i="1"/>
  <c r="S217" i="1"/>
  <c r="D218" i="1"/>
  <c r="S218" i="1"/>
  <c r="D219" i="1"/>
  <c r="S219" i="1"/>
</calcChain>
</file>

<file path=xl/sharedStrings.xml><?xml version="1.0" encoding="utf-8"?>
<sst xmlns="http://schemas.openxmlformats.org/spreadsheetml/2006/main" count="1222" uniqueCount="500">
  <si>
    <t>AV16 HENKEL TOLUCA</t>
  </si>
  <si>
    <t>ENTREGADO</t>
  </si>
  <si>
    <t>ZEPEDA ALVAREZ JAZMIN</t>
  </si>
  <si>
    <t>161681</t>
  </si>
  <si>
    <t>AV03 KELLOGG TOLUCA</t>
  </si>
  <si>
    <t>ZENDEJAS CARRILLO JOSE ROBERTO</t>
  </si>
  <si>
    <t>31152</t>
  </si>
  <si>
    <t>AV22 RAPPI EDOMX</t>
  </si>
  <si>
    <t>ZAVALA LEDEZMA MARIA DELIA</t>
  </si>
  <si>
    <t>220350</t>
  </si>
  <si>
    <t>AV12 MULTICUENTAS EDOMX</t>
  </si>
  <si>
    <t>ZARAZUA GONZALEZ WENDY HELLEN</t>
  </si>
  <si>
    <t>120579</t>
  </si>
  <si>
    <t>AV07 JUMEX EDOMX</t>
  </si>
  <si>
    <t>VILLEGAS DE LA CRUZ JESUS MARTIN</t>
  </si>
  <si>
    <t>71155</t>
  </si>
  <si>
    <t>VELAZQUEZ VARGAS MARIA FERNANDA</t>
  </si>
  <si>
    <t>161689</t>
  </si>
  <si>
    <t>VELAZQUEZ MARTINEZ JAVIER</t>
  </si>
  <si>
    <t>31150</t>
  </si>
  <si>
    <t>VEGA REYES EMMANUEL</t>
  </si>
  <si>
    <t>161680</t>
  </si>
  <si>
    <t>AV05 COLGATE EDOMX</t>
  </si>
  <si>
    <t>VAZQUEZ ESPARZA JUAN CARLOS</t>
  </si>
  <si>
    <t>51366</t>
  </si>
  <si>
    <t>VALERIO ELIZALDE MELINA</t>
  </si>
  <si>
    <t>71164</t>
  </si>
  <si>
    <t>AV17 HISENSE EDOMX</t>
  </si>
  <si>
    <t>UREÑA BAZAN KEVIN IRVING</t>
  </si>
  <si>
    <t>171392</t>
  </si>
  <si>
    <t>TOVAR RIVERA LUIS ALBERTO</t>
  </si>
  <si>
    <t>31159</t>
  </si>
  <si>
    <t>SEGUNDO MARQUEZ MARIA DE FATIMA</t>
  </si>
  <si>
    <t>220345</t>
  </si>
  <si>
    <t>AV15 SODIMAC CAPLAN EDOMX</t>
  </si>
  <si>
    <t>SEGUNDO AMADOR AGUSTIN DE JESUS</t>
  </si>
  <si>
    <t>150649</t>
  </si>
  <si>
    <t>SANCHEZ PATIÑO FATIMA</t>
  </si>
  <si>
    <t>220356</t>
  </si>
  <si>
    <t>SANCHEZ MORALES FABIAN</t>
  </si>
  <si>
    <t>161697</t>
  </si>
  <si>
    <t>SANCHEZ GARCIA YOLANDA</t>
  </si>
  <si>
    <t>51352</t>
  </si>
  <si>
    <t>SALAS MENDOZA JOSE ALEXIS</t>
  </si>
  <si>
    <t>71160</t>
  </si>
  <si>
    <t>ROMERO MAURICIO ISAAC EDUARDO</t>
  </si>
  <si>
    <t>161696</t>
  </si>
  <si>
    <t>ROMERO LOPEZ JUAN DE DIOS</t>
  </si>
  <si>
    <t>31156</t>
  </si>
  <si>
    <t>ROMAN GONZALEZ BRYAN JOEL</t>
  </si>
  <si>
    <t>150655</t>
  </si>
  <si>
    <t>RODRIGUEZ LEON RODOLFO</t>
  </si>
  <si>
    <t>31146</t>
  </si>
  <si>
    <t>RODRIGUEZ GUADARRAMA DIEGO ESTEBAN</t>
  </si>
  <si>
    <t>31143</t>
  </si>
  <si>
    <t>ROBLERO MORALES ALICIA NATIVIDAD</t>
  </si>
  <si>
    <t>161679</t>
  </si>
  <si>
    <t>RIVERA GARCIA LIDIER</t>
  </si>
  <si>
    <t>171405</t>
  </si>
  <si>
    <t>RIVERA ARRES JOSE BALDEMAR</t>
  </si>
  <si>
    <t>71156</t>
  </si>
  <si>
    <t>REYES CABRERA EDWIN OMAR</t>
  </si>
  <si>
    <t>171390</t>
  </si>
  <si>
    <t>RAMOS MARTINEZ JOSUE ADRIAN</t>
  </si>
  <si>
    <t>71159</t>
  </si>
  <si>
    <t>RAMIREZ ALVAREZ KARINA</t>
  </si>
  <si>
    <t>71163</t>
  </si>
  <si>
    <t>PEREZ SANTOS OSCAR</t>
  </si>
  <si>
    <t>171410</t>
  </si>
  <si>
    <t>PEREZ HIDALGO JUANA SUGUEY</t>
  </si>
  <si>
    <t>120581</t>
  </si>
  <si>
    <t>PEREZ GAONA OMAR</t>
  </si>
  <si>
    <t>171418</t>
  </si>
  <si>
    <t>PALACIOS CATALAN GABRIEL</t>
  </si>
  <si>
    <t>71158</t>
  </si>
  <si>
    <t>OCAMPO MALDONADO JOSE LUIS</t>
  </si>
  <si>
    <t>120585</t>
  </si>
  <si>
    <t>MORALES RITO ALBERTO</t>
  </si>
  <si>
    <t>161688</t>
  </si>
  <si>
    <t>MONTOYA NICOLAS JUAN MANUEL</t>
  </si>
  <si>
    <t>31149</t>
  </si>
  <si>
    <t>MONTOYA MUNGUIA JONATHAN ALEXIS</t>
  </si>
  <si>
    <t>31163</t>
  </si>
  <si>
    <t>MONTES DE OCA MARTINEZ DAVID</t>
  </si>
  <si>
    <t>161694</t>
  </si>
  <si>
    <t>MONTES ARRIAGA FELIPE DE JESUS</t>
  </si>
  <si>
    <t>161687</t>
  </si>
  <si>
    <t>MONROY GARCIA SALOMON</t>
  </si>
  <si>
    <t>31145</t>
  </si>
  <si>
    <t>MIRELES DIAZ MARIO ALBERTO</t>
  </si>
  <si>
    <t>150650</t>
  </si>
  <si>
    <t>MENDOZA GOMEZ BRITANNY SHERLYN</t>
  </si>
  <si>
    <t>171395</t>
  </si>
  <si>
    <t>MENDOZA DIAZ ERICK IVAN</t>
  </si>
  <si>
    <t>150648</t>
  </si>
  <si>
    <t>MENDEZ TALAMANTES RICARDO ARMANDO</t>
  </si>
  <si>
    <t>220353</t>
  </si>
  <si>
    <t>MEDINA PIÑA EMMANUEL</t>
  </si>
  <si>
    <t>31148</t>
  </si>
  <si>
    <t>MEDINA GARCIA CLAUDIA EDITH</t>
  </si>
  <si>
    <t>171391</t>
  </si>
  <si>
    <t>MARTINEZ SERVIN KEVIN ALAN</t>
  </si>
  <si>
    <t>161686</t>
  </si>
  <si>
    <t>MARTINEZ ROJAS OYUKI JOSELYN</t>
  </si>
  <si>
    <t>71167</t>
  </si>
  <si>
    <t>MARTINEZ PEREZ OMAR</t>
  </si>
  <si>
    <t>220337</t>
  </si>
  <si>
    <t>MARTINEZ MOLINA LUIS</t>
  </si>
  <si>
    <t>31144</t>
  </si>
  <si>
    <t>MARTINEZ MENDOZA JESUS</t>
  </si>
  <si>
    <t>31158</t>
  </si>
  <si>
    <t>MARTINEZ GONZALEZ MARCELO</t>
  </si>
  <si>
    <t>31147</t>
  </si>
  <si>
    <t>MARTINEZ CRISTOBAL RICARDO</t>
  </si>
  <si>
    <t>220349</t>
  </si>
  <si>
    <t>MARTINEZ CASTRO JUAN</t>
  </si>
  <si>
    <t>71152</t>
  </si>
  <si>
    <t>MARTINEZ CAÑAS TANIA JUDITH</t>
  </si>
  <si>
    <t>220359</t>
  </si>
  <si>
    <t>MARCE BARCENAS CESAR</t>
  </si>
  <si>
    <t>171414</t>
  </si>
  <si>
    <t>LUNA RIVAS MAURICIO</t>
  </si>
  <si>
    <t>150652</t>
  </si>
  <si>
    <t>LUNA FERNANDEZ SAULO ABINADAR</t>
  </si>
  <si>
    <t>220335</t>
  </si>
  <si>
    <t>LOZANO ORTIZ DAVID</t>
  </si>
  <si>
    <t>161693</t>
  </si>
  <si>
    <t>LOZANO ESQUIVEL LUIS ANGEL</t>
  </si>
  <si>
    <t>150654</t>
  </si>
  <si>
    <t>LOZADA RODRIGUEZ HUMBERTO</t>
  </si>
  <si>
    <t>71162</t>
  </si>
  <si>
    <t>LOTINA DE LA CRUZ TEODORO</t>
  </si>
  <si>
    <t>171394</t>
  </si>
  <si>
    <t>LEON HERRERA OSWALDO ALONSO</t>
  </si>
  <si>
    <t>220358</t>
  </si>
  <si>
    <t>LARA TORRES JHULIANA</t>
  </si>
  <si>
    <t>120584</t>
  </si>
  <si>
    <t>JUAREZ LUVIANO ABIGAIL</t>
  </si>
  <si>
    <t>220348</t>
  </si>
  <si>
    <t>JIMENEZ MORALES GABRIELA AIDEE</t>
  </si>
  <si>
    <t>171387</t>
  </si>
  <si>
    <t>AV25 MULTICUENTAS EL PERAL EDO</t>
  </si>
  <si>
    <t>JIMENEZ LEYTE ERNESTO</t>
  </si>
  <si>
    <t>250021</t>
  </si>
  <si>
    <t>JIMENEZ GARCIA JOSE DE JESUS</t>
  </si>
  <si>
    <t>250018</t>
  </si>
  <si>
    <t>JIMENEZ CIPRIANO RUBEN</t>
  </si>
  <si>
    <t>71157</t>
  </si>
  <si>
    <t>JIMENEZ AVILA DULCE YCIS</t>
  </si>
  <si>
    <t>120583</t>
  </si>
  <si>
    <t>AV06 SODIMAC HC EDOMX</t>
  </si>
  <si>
    <t>ISLEÑO JIMENEZ JOEL</t>
  </si>
  <si>
    <t>61410</t>
  </si>
  <si>
    <t>HERNANDEZ VARGAS JOSE LUIS</t>
  </si>
  <si>
    <t>171416</t>
  </si>
  <si>
    <t>HERNANDEZ SANTIN DANIEL</t>
  </si>
  <si>
    <t>150647</t>
  </si>
  <si>
    <t>HERNANDEZ LUNA CHRISTIAN</t>
  </si>
  <si>
    <t>51365</t>
  </si>
  <si>
    <t>HERNANDEZ LEAL JONATHAN</t>
  </si>
  <si>
    <t>161692</t>
  </si>
  <si>
    <t>HERNANDEZ DOMINGUEZ ADRIANA</t>
  </si>
  <si>
    <t>161678</t>
  </si>
  <si>
    <t>GUERRERO FLORES DIANA JULIETA</t>
  </si>
  <si>
    <t>150646</t>
  </si>
  <si>
    <t>GONZALEZ MENDOZA SAUL ALONSO</t>
  </si>
  <si>
    <t>150651</t>
  </si>
  <si>
    <t>GONZALEZ GONZALEZ ROSALIO</t>
  </si>
  <si>
    <t>31157</t>
  </si>
  <si>
    <t>GIL SANCHEZ MARCO ANTONIO</t>
  </si>
  <si>
    <t>120578</t>
  </si>
  <si>
    <t>GARCIA GARCIA JOSUE MANUEL</t>
  </si>
  <si>
    <t>31161</t>
  </si>
  <si>
    <t>GARCIA AYALA JOSE DE JESUS</t>
  </si>
  <si>
    <t>31151</t>
  </si>
  <si>
    <t>FUENTES LOPEZ BRYAN JAIR</t>
  </si>
  <si>
    <t>220357</t>
  </si>
  <si>
    <t>FRAGOSO SALINAS HECTOR ANDRES</t>
  </si>
  <si>
    <t>61411</t>
  </si>
  <si>
    <t>FLORES RODRIGUEZ ALEXIS</t>
  </si>
  <si>
    <t>220339</t>
  </si>
  <si>
    <t>FLORES ALEMAN CARLA KARINA</t>
  </si>
  <si>
    <t>150645</t>
  </si>
  <si>
    <t>ESTRADA GONZALEZ MARGARITA</t>
  </si>
  <si>
    <t>171400</t>
  </si>
  <si>
    <t>ESTRADA GONZALEZ JESUS GUADALUPE</t>
  </si>
  <si>
    <t>51364</t>
  </si>
  <si>
    <t>ESQUIVEL ORTEGA EZEQUIEL RICARDO</t>
  </si>
  <si>
    <t>31160</t>
  </si>
  <si>
    <t>ESPINOSA MORALES JUAN CARLOS</t>
  </si>
  <si>
    <t>220355</t>
  </si>
  <si>
    <t>ESCOBAR VIGUERAS VERONICA</t>
  </si>
  <si>
    <t>61408</t>
  </si>
  <si>
    <t>ESCALONA VALDEZ EDUARDO</t>
  </si>
  <si>
    <t>31155</t>
  </si>
  <si>
    <t>ERNESTO GONZALEZ ERICK</t>
  </si>
  <si>
    <t>161691</t>
  </si>
  <si>
    <t>DOMINGUEZ RODRIGUEZ LUIS ANGEL</t>
  </si>
  <si>
    <t>220334</t>
  </si>
  <si>
    <t>DIAZ ORTIZ ABRAHAM</t>
  </si>
  <si>
    <t>51360</t>
  </si>
  <si>
    <t>DIAZ MORALES TOMAS</t>
  </si>
  <si>
    <t>161685</t>
  </si>
  <si>
    <t>DELGADO ANTONIO ARACELI</t>
  </si>
  <si>
    <t>71168</t>
  </si>
  <si>
    <t>DE JESUS GOMEZ ALAN</t>
  </si>
  <si>
    <t>161677</t>
  </si>
  <si>
    <t>DANIEL TELLEZ ZURIEL</t>
  </si>
  <si>
    <t>31154</t>
  </si>
  <si>
    <t>CRUZ SOTELO ANGEL ALFREDO</t>
  </si>
  <si>
    <t>171412</t>
  </si>
  <si>
    <t>CRUZ PADILLA AIDETH</t>
  </si>
  <si>
    <t>71161</t>
  </si>
  <si>
    <t>CRUZ MEJIA ERNESTO</t>
  </si>
  <si>
    <t>161695</t>
  </si>
  <si>
    <t>CRUZ FLORES DANIELA</t>
  </si>
  <si>
    <t>171417</t>
  </si>
  <si>
    <t>COYOLE GARCIA MARIA NAZARETH</t>
  </si>
  <si>
    <t>61409</t>
  </si>
  <si>
    <t>CORTEZ LOZANO DANIELA IVONNE</t>
  </si>
  <si>
    <t>120580</t>
  </si>
  <si>
    <t>COLIN GOMORA JESUS</t>
  </si>
  <si>
    <t>31162</t>
  </si>
  <si>
    <t>CHRISTY VEGA JEREMY UZIEL</t>
  </si>
  <si>
    <t>51367</t>
  </si>
  <si>
    <t>CHACON URIBE BRANDON DANIEL</t>
  </si>
  <si>
    <t>220346</t>
  </si>
  <si>
    <t>CASTRO MALVAEZ OSCAR</t>
  </si>
  <si>
    <t>31142</t>
  </si>
  <si>
    <t>CASTILLO REYES GEOVANY</t>
  </si>
  <si>
    <t>161690</t>
  </si>
  <si>
    <t>CARMONA BRAVO GUSTAVO</t>
  </si>
  <si>
    <t>150653</t>
  </si>
  <si>
    <t>CANTELLANO MANUEL CLARA</t>
  </si>
  <si>
    <t>220347</t>
  </si>
  <si>
    <t>CAMPOS VILLA JULIO CESAR</t>
  </si>
  <si>
    <t>71166</t>
  </si>
  <si>
    <t>CABALLERO VALADEZ LUIS ROBERTO</t>
  </si>
  <si>
    <t>171419</t>
  </si>
  <si>
    <t>BRAVO FLORES ALFREDO</t>
  </si>
  <si>
    <t>51342</t>
  </si>
  <si>
    <t>BORBOLLON OLMEDO ARIADNE</t>
  </si>
  <si>
    <t>161684</t>
  </si>
  <si>
    <t>BLAS ISHIHARA ANGEL DANIEL</t>
  </si>
  <si>
    <t>171398</t>
  </si>
  <si>
    <t>BETANZO CARDENAS ANGEL DAVID</t>
  </si>
  <si>
    <t>51359</t>
  </si>
  <si>
    <t>BERNARDO GOMEZ RODRIGO ROBERTO</t>
  </si>
  <si>
    <t>171407</t>
  </si>
  <si>
    <t>BEJARANO MERCADO MICHELL RISTO</t>
  </si>
  <si>
    <t>220352</t>
  </si>
  <si>
    <t>BARRERA MACIAS SONIA ESTRELLA</t>
  </si>
  <si>
    <t>161683</t>
  </si>
  <si>
    <t>BALDERAS PEDRAZA MICHEL</t>
  </si>
  <si>
    <t>161682</t>
  </si>
  <si>
    <t>ARELLANO LARA LUIS DAVID</t>
  </si>
  <si>
    <t>31153</t>
  </si>
  <si>
    <t>ARANDA PALLARES ERNESTO</t>
  </si>
  <si>
    <t>220351</t>
  </si>
  <si>
    <t>ALMAGUER FLORES ANTONIO</t>
  </si>
  <si>
    <t>51340</t>
  </si>
  <si>
    <t>ALFARO GALVEZ JUAN ESTEBAN</t>
  </si>
  <si>
    <t>250019</t>
  </si>
  <si>
    <t>ALCANTAR REYES JUAN JOEL</t>
  </si>
  <si>
    <t>51363</t>
  </si>
  <si>
    <t>ALBERTO MARTINEZ FABIOLA</t>
  </si>
  <si>
    <t>220354</t>
  </si>
  <si>
    <t>AGUILERA FLORES MELANI</t>
  </si>
  <si>
    <t>71165</t>
  </si>
  <si>
    <t>AGUILAR GARCIA JUAN CARLOS</t>
  </si>
  <si>
    <t>120582</t>
  </si>
  <si>
    <t>ACOSTA AMEZCUA OMAR JORGE</t>
  </si>
  <si>
    <t>171409</t>
  </si>
  <si>
    <t>URIEL</t>
  </si>
  <si>
    <t>FBC</t>
  </si>
  <si>
    <t>OPTIMO</t>
  </si>
  <si>
    <t>AYUDANTE GENERAL</t>
  </si>
  <si>
    <t>FRAGOSO HERNANDEZ SANTIAGO</t>
  </si>
  <si>
    <t>51361</t>
  </si>
  <si>
    <t>NO LE INTERESA EL SUELDO</t>
  </si>
  <si>
    <t>DECLINADO</t>
  </si>
  <si>
    <t>SANCHEZ CRUZ ANA ELENA</t>
  </si>
  <si>
    <t>NO PASA MEDICO</t>
  </si>
  <si>
    <t>GREGORIO SANTAMARIA ERIK EDUARDO</t>
  </si>
  <si>
    <t>ESTRADA CHARGOY JONATHAN ALEJANDRO</t>
  </si>
  <si>
    <t>51353</t>
  </si>
  <si>
    <t>NO SHOW</t>
  </si>
  <si>
    <t>ALVARADO CRUZ MARIEL</t>
  </si>
  <si>
    <t>51358</t>
  </si>
  <si>
    <t>NO REGRESA A TERMINAR PROCESO</t>
  </si>
  <si>
    <t>BERNAL VAZQUEZ YAHIR ISMAEL</t>
  </si>
  <si>
    <t>NO PASA LA PRUEBA DE MONTA</t>
  </si>
  <si>
    <t>MONTACARGUISTA</t>
  </si>
  <si>
    <t>ALFARO PINEDA CHRISTIAN JAIR</t>
  </si>
  <si>
    <t>FLORES LOMAS URIEL</t>
  </si>
  <si>
    <t>SE LE INVITA A PROGRAMA DE DESARROLLO DE MONTAS</t>
  </si>
  <si>
    <t>ESTRADA REAL DANIELA</t>
  </si>
  <si>
    <t>RIVERA CHAVEZ ANDREA</t>
  </si>
  <si>
    <t>GARCIA ONOFRE YONATHAN</t>
  </si>
  <si>
    <t>PEREZ GONZALEZ MIGUEL ANGEL</t>
  </si>
  <si>
    <t>51345</t>
  </si>
  <si>
    <t>VALENZUELA LOPEZ ELIAS ALTAIR</t>
  </si>
  <si>
    <t>51346</t>
  </si>
  <si>
    <t>CRUZ SOSA TAURINO</t>
  </si>
  <si>
    <t>51343</t>
  </si>
  <si>
    <t>ESTRADA LUCIO GUSTAVO</t>
  </si>
  <si>
    <t>71154</t>
  </si>
  <si>
    <t>SANTIAGO CRUZ ROSA ELVIA</t>
  </si>
  <si>
    <t>GONZALEZ TREJO NICO SAM</t>
  </si>
  <si>
    <t>ALDANA VELAZQUEZ ANA ROSA</t>
  </si>
  <si>
    <t>71153</t>
  </si>
  <si>
    <t>ALMAZAN CRUZ FRANCISCO</t>
  </si>
  <si>
    <t>220344</t>
  </si>
  <si>
    <t>AYALA CONTRERAS ELDA NAYELI</t>
  </si>
  <si>
    <t>MARTINEZ SANCHEZ GABRIEL</t>
  </si>
  <si>
    <t>220343</t>
  </si>
  <si>
    <t>NO PUEDE ROLAR TURNOS</t>
  </si>
  <si>
    <t>RIVERA BAUTISTA MARISOL</t>
  </si>
  <si>
    <t>NO CUENTA CON RFC NO LE INTERESA CONTINUAR</t>
  </si>
  <si>
    <t>DAVILA DELGADO ENRIQUE</t>
  </si>
  <si>
    <t>MARTINEZ GONZALEZ DAFNE</t>
  </si>
  <si>
    <t>220342</t>
  </si>
  <si>
    <t>LADRON DE GUEVARA SHARON URIBE LADRON</t>
  </si>
  <si>
    <t>CRUZ CORTEZ JUAN CARLOS</t>
  </si>
  <si>
    <t>GARCIA CISNEROS FABIOLA</t>
  </si>
  <si>
    <t>220340</t>
  </si>
  <si>
    <t>LEON PEREZ MARIA GUADALUPE</t>
  </si>
  <si>
    <t>220341</t>
  </si>
  <si>
    <t>ROMERO CERON DIANA SARAY</t>
  </si>
  <si>
    <t>220338</t>
  </si>
  <si>
    <t>VERIFICADOR</t>
  </si>
  <si>
    <t>PEREZ JUAREZ ANTONIO</t>
  </si>
  <si>
    <t>71151</t>
  </si>
  <si>
    <t>ANGELES RESENDIZ GABRIELA</t>
  </si>
  <si>
    <t>220336</t>
  </si>
  <si>
    <t>SELECCION</t>
  </si>
  <si>
    <t>SUFICIENTE</t>
  </si>
  <si>
    <t>55 7007 0011</t>
  </si>
  <si>
    <t>ENFERMERO</t>
  </si>
  <si>
    <t>RODRIGUEZ MARTINEZ MOISES</t>
  </si>
  <si>
    <t>DANIA</t>
  </si>
  <si>
    <t>INDEED</t>
  </si>
  <si>
    <t>PROBLEMAS FAMILIARES</t>
  </si>
  <si>
    <t>0 a 30 $</t>
  </si>
  <si>
    <t>10 A 30M</t>
  </si>
  <si>
    <t>729 887 6816</t>
  </si>
  <si>
    <t>CORTES VERGARA ADRIAN</t>
  </si>
  <si>
    <t>51362</t>
  </si>
  <si>
    <t>DESTACADO</t>
  </si>
  <si>
    <t>55 4491 4899</t>
  </si>
  <si>
    <t>MORALES HERNANDEZ TOLENTINO</t>
  </si>
  <si>
    <t>51357</t>
  </si>
  <si>
    <t xml:space="preserve"> 55 8245 9475</t>
  </si>
  <si>
    <t>CABRERA SANTIAGO BRAYHAM ABRAHAM</t>
  </si>
  <si>
    <t>51356</t>
  </si>
  <si>
    <t>56 1346 3061</t>
  </si>
  <si>
    <t>LEON ALVAREZ HECTOR OMAR</t>
  </si>
  <si>
    <t>51349</t>
  </si>
  <si>
    <t xml:space="preserve"> 55 6783 8810</t>
  </si>
  <si>
    <t>TREJO FLORES EMMANUEL</t>
  </si>
  <si>
    <t>51350</t>
  </si>
  <si>
    <t>SUELDO</t>
  </si>
  <si>
    <t>56 4391 5610</t>
  </si>
  <si>
    <t>ZAVALA GONZALEZ ROBERTO</t>
  </si>
  <si>
    <t>51347</t>
  </si>
  <si>
    <t>55 5146 6612</t>
  </si>
  <si>
    <t>LOTINA MARTINEZ RAFAELA</t>
  </si>
  <si>
    <t>51344</t>
  </si>
  <si>
    <t>55 6656 5885</t>
  </si>
  <si>
    <t>BARRERA MENDEZ ROBERTO CARLOS</t>
  </si>
  <si>
    <t>51341</t>
  </si>
  <si>
    <t>56 4144 2340</t>
  </si>
  <si>
    <t>GARCIA DE LA LUZ NOE ADAN</t>
  </si>
  <si>
    <t>51337</t>
  </si>
  <si>
    <t>31 a 50 $</t>
  </si>
  <si>
    <t>30M A 1HR</t>
  </si>
  <si>
    <t>55 4278 4453</t>
  </si>
  <si>
    <t>LOPEZ SANCHEZ OSCAR URIEL</t>
  </si>
  <si>
    <t>51334</t>
  </si>
  <si>
    <t>FBO</t>
  </si>
  <si>
    <t>55 1194 7219</t>
  </si>
  <si>
    <t>PINEDA SANTOS AXEL MARIO</t>
  </si>
  <si>
    <t>51336</t>
  </si>
  <si>
    <t>55 4259 1499</t>
  </si>
  <si>
    <t>MORALES JIMENEZ RAMIRO CONSTANTINO</t>
  </si>
  <si>
    <t>51335</t>
  </si>
  <si>
    <t>55 2862 6203</t>
  </si>
  <si>
    <t>VALENCIA LOPEZ MARIO ALBERTO</t>
  </si>
  <si>
    <t>51338</t>
  </si>
  <si>
    <t>ELSA</t>
  </si>
  <si>
    <t>PRUEBA CON PATIN</t>
  </si>
  <si>
    <t>DOCUMENTACION</t>
  </si>
  <si>
    <t>EUGENIO RIVERA JOSE</t>
  </si>
  <si>
    <t>VELAZCO MELO JOAQUIN</t>
  </si>
  <si>
    <t>171415</t>
  </si>
  <si>
    <t>CUENTA, RFC</t>
  </si>
  <si>
    <t>55 3581 8559</t>
  </si>
  <si>
    <t xml:space="preserve">VAZQUEZ DÍAZ VICTORIA </t>
  </si>
  <si>
    <t>PRUEBA</t>
  </si>
  <si>
    <t>56 5376 6880</t>
  </si>
  <si>
    <t>CAVIEDES SOLIS CRISTIAN IGNACIO</t>
  </si>
  <si>
    <t>CAMBIO DE REGIMEN</t>
  </si>
  <si>
    <t>55 4496 4996</t>
  </si>
  <si>
    <t xml:space="preserve">PEREZ SANTOS OSCAR </t>
  </si>
  <si>
    <t xml:space="preserve"> RFC</t>
  </si>
  <si>
    <t>56 1516 3091</t>
  </si>
  <si>
    <t>GIRON FRIAS LUIS FELIPE</t>
  </si>
  <si>
    <t>171413</t>
  </si>
  <si>
    <t>NO CONTINUO PROCESO</t>
  </si>
  <si>
    <t xml:space="preserve">HERNANDEZ DE JESUS SERGIO ALEJANDRO </t>
  </si>
  <si>
    <t>TORRES MEJIA DAVID EMMANUEL</t>
  </si>
  <si>
    <t>171411</t>
  </si>
  <si>
    <t>SEMANA DE DESFASE</t>
  </si>
  <si>
    <t xml:space="preserve">VAZQUEZ LUZ DAVID </t>
  </si>
  <si>
    <t>PORTILLO OCHOA ANTONIO</t>
  </si>
  <si>
    <t>171408</t>
  </si>
  <si>
    <t>CRUZ NIEVES LUIS ENRIQUE</t>
  </si>
  <si>
    <t>REINGERSO NO VIABLE</t>
  </si>
  <si>
    <t xml:space="preserve">MIRELEZ MONTES IVAN </t>
  </si>
  <si>
    <t>OLVERA MARTINEZ NUZET YAEL</t>
  </si>
  <si>
    <t>171402</t>
  </si>
  <si>
    <t xml:space="preserve"> 56 3111 7974</t>
  </si>
  <si>
    <t>AUXILIAR DE LOGISTICA</t>
  </si>
  <si>
    <t>GUTIERREZ MEDINA DANIEL MIGUEL</t>
  </si>
  <si>
    <t>171401</t>
  </si>
  <si>
    <t>BUTANDA MARTINEZ GILMAR JESUS</t>
  </si>
  <si>
    <t>NO LLEGO</t>
  </si>
  <si>
    <t>729 837 0429</t>
  </si>
  <si>
    <t xml:space="preserve">RIVERA GARCIA LIDIER </t>
  </si>
  <si>
    <t>COBOS MONTOYA FERNANDO</t>
  </si>
  <si>
    <t>171399</t>
  </si>
  <si>
    <t>GOMEZ PEREA JUAN CARLOS</t>
  </si>
  <si>
    <t>171397</t>
  </si>
  <si>
    <t>NO PASO PRUEBA</t>
  </si>
  <si>
    <t>RIVAS ALCAZAR OSCAR ALEJANDRO</t>
  </si>
  <si>
    <t>TERRES ALCANTARA LUIS ADRIAN</t>
  </si>
  <si>
    <t>171406</t>
  </si>
  <si>
    <t>CORONA HERNANDEZ JOSE LUIS</t>
  </si>
  <si>
    <t>171396</t>
  </si>
  <si>
    <t>RINCON RAMIREZ JORGE BENJAMIN</t>
  </si>
  <si>
    <t>171403</t>
  </si>
  <si>
    <t>MILLAN SANCHEZ FABIAN</t>
  </si>
  <si>
    <t>171404</t>
  </si>
  <si>
    <t>PEREZ MARTINEZ FRANCISCO JAVIER</t>
  </si>
  <si>
    <t>51355</t>
  </si>
  <si>
    <t>VILLA ALVAREZ URIEL EDUARDO</t>
  </si>
  <si>
    <t>AGUILAR GARCIA BRAYAN ALEXIS</t>
  </si>
  <si>
    <t>51351</t>
  </si>
  <si>
    <t>CAPTURISTA</t>
  </si>
  <si>
    <t>ESTRADA HERNANDEZ MARISOL</t>
  </si>
  <si>
    <t>51348</t>
  </si>
  <si>
    <t>HORARIOS</t>
  </si>
  <si>
    <t>ESTRADA HERNANDEZ PATRICIA</t>
  </si>
  <si>
    <t>55 6604 9963</t>
  </si>
  <si>
    <t xml:space="preserve"> BLAS ANGEL DANIEL</t>
  </si>
  <si>
    <t>REYES RODRIGUEZ ROSENBERG EMMANUEL</t>
  </si>
  <si>
    <t>171393</t>
  </si>
  <si>
    <t>GALVAN BANCA AARON</t>
  </si>
  <si>
    <t>51354</t>
  </si>
  <si>
    <t>EXPERIENCIA</t>
  </si>
  <si>
    <t>BALLARTO MARIA GUADALUPE</t>
  </si>
  <si>
    <t>DE ROSAS GARCIA JORGE ABRAHAM</t>
  </si>
  <si>
    <t>171389</t>
  </si>
  <si>
    <t>PRADO AGUILAR DANIEL</t>
  </si>
  <si>
    <t>171388</t>
  </si>
  <si>
    <t>55 7996 7455</t>
  </si>
  <si>
    <t>ALBERTO SANTES JESUS LEONARDO</t>
  </si>
  <si>
    <t>51339</t>
  </si>
  <si>
    <t>BRICEÑO NIETO IKER JOVANI</t>
  </si>
  <si>
    <t>171385</t>
  </si>
  <si>
    <t>322 175 6922</t>
  </si>
  <si>
    <t>MIRANDA PEREZ ARTURO DAVID</t>
  </si>
  <si>
    <t>171386</t>
  </si>
  <si>
    <t>VENTURA LOPEZ BRANDON ENRIQUE</t>
  </si>
  <si>
    <t>AUXILIAR</t>
  </si>
  <si>
    <t>RODRIGUEZ RAYA IRENE</t>
  </si>
  <si>
    <t>55 5165 5716</t>
  </si>
  <si>
    <t>MEDINA LOPEZ ARMANDO</t>
  </si>
  <si>
    <t xml:space="preserve"> 56 1668 8691</t>
  </si>
  <si>
    <t>SOTO GARCIA RODRIGO</t>
  </si>
  <si>
    <t>171384</t>
  </si>
  <si>
    <t># DE SEMANA</t>
  </si>
  <si>
    <t>ALMACEN</t>
  </si>
  <si>
    <t>RECLUTADOR</t>
  </si>
  <si>
    <r>
      <t xml:space="preserve">CODIGO DE CAMPAÑA
</t>
    </r>
    <r>
      <rPr>
        <sz val="8"/>
        <color theme="0"/>
        <rFont val="Calibri"/>
        <family val="2"/>
      </rPr>
      <t>(avior-sem-año)</t>
    </r>
  </si>
  <si>
    <t>MEDIO DE RECLUTAMIENTO</t>
  </si>
  <si>
    <t>MOTIVO DE RECHAZO</t>
  </si>
  <si>
    <t>ESTATUS</t>
  </si>
  <si>
    <t>FECHA DE INGRESO</t>
  </si>
  <si>
    <t xml:space="preserve">FECHA DE ALTA </t>
  </si>
  <si>
    <t>FECHA DE ENTREGA EXPEDIENTE</t>
  </si>
  <si>
    <t>SOD</t>
  </si>
  <si>
    <r>
      <t xml:space="preserve">$ COSTO DE TRASLADO
</t>
    </r>
    <r>
      <rPr>
        <sz val="8"/>
        <color theme="0"/>
        <rFont val="Calibri"/>
        <family val="2"/>
      </rPr>
      <t>(diario)</t>
    </r>
  </si>
  <si>
    <t>TIEMPO DE TRASLADO</t>
  </si>
  <si>
    <t>FECHA DE ENTREVISTA</t>
  </si>
  <si>
    <t>TELEFONO</t>
  </si>
  <si>
    <t>PUESTO</t>
  </si>
  <si>
    <r>
      <t xml:space="preserve">Nombre de Empleado
</t>
    </r>
    <r>
      <rPr>
        <sz val="9"/>
        <color theme="0"/>
        <rFont val="Calibri"/>
        <family val="2"/>
      </rPr>
      <t>(1er apelido + 2do + nombres en Mayusculas)</t>
    </r>
  </si>
  <si>
    <t>NOM</t>
  </si>
  <si>
    <t xml:space="preserve">#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</si>
</sst>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d/m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  <font>
      <sz val="10"/>
      <color theme="0"/>
      <name val="Calibri"/>
      <family val="2"/>
    </font>
    <font>
      <sz val="9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D0DF00"/>
        <bgColor rgb="FFD0DF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15" fontId="3" fillId="0" borderId="0" xfId="0" applyNumberFormat="1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5" fontId="4" fillId="0" borderId="4" xfId="0" applyNumberFormat="1" applyFont="1" applyBorder="1" applyAlignment="1">
      <alignment horizontal="center"/>
    </xf>
    <xf numFmtId="15" fontId="4" fillId="0" borderId="5" xfId="0" applyNumberFormat="1" applyFont="1" applyBorder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49" fontId="4" fillId="0" borderId="7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center"/>
    </xf>
    <xf numFmtId="44" fontId="4" fillId="0" borderId="2" xfId="1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44" fontId="4" fillId="0" borderId="5" xfId="1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11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44" fontId="4" fillId="0" borderId="4" xfId="1" applyFont="1" applyBorder="1" applyAlignment="1">
      <alignment horizontal="center"/>
    </xf>
    <xf numFmtId="165" fontId="4" fillId="0" borderId="12" xfId="0" applyNumberFormat="1" applyFont="1" applyBorder="1" applyAlignment="1">
      <alignment horizontal="center"/>
    </xf>
    <xf numFmtId="0" fontId="4" fillId="0" borderId="13" xfId="0" applyFont="1" applyBorder="1" applyAlignment="1">
      <alignment horizontal="left" vertical="center"/>
    </xf>
    <xf numFmtId="164" fontId="4" fillId="0" borderId="4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2" fillId="0" borderId="0" xfId="0" applyFont="1"/>
    <xf numFmtId="0" fontId="5" fillId="2" borderId="1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5" fontId="5" fillId="3" borderId="0" xfId="0" applyNumberFormat="1" applyFont="1" applyFill="1" applyAlignment="1">
      <alignment horizontal="center" vertical="center" wrapText="1"/>
    </xf>
    <xf numFmtId="15" fontId="8" fillId="3" borderId="0" xfId="0" applyNumberFormat="1" applyFont="1" applyFill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numFmt numFmtId="20" formatCode="dd\-mmm\-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numFmt numFmtId="20" formatCode="dd\-mmm\-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numFmt numFmtId="20" formatCode="dd\-mmm\-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numFmt numFmtId="164" formatCode="_-&quot;$&quot;* #,##0.00_-;\-&quot;$&quot;* #,##0.00_-;_-&quot;$&quot;* &quot;-&quot;??_-;_-@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numFmt numFmtId="165" formatCode="d/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numFmt numFmtId="20" formatCode="dd\-mmm\-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8EAADB"/>
          <bgColor rgb="FF8EAAD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izbeth.navarro/AppData/Local/Four%20Js/Genero%20Desktop%20Client/cache/ftcache/Report-Kaan-9912-02-06-18-16-01.5.xlsx" TargetMode="External"/><Relationship Id="rId1" Type="http://schemas.openxmlformats.org/officeDocument/2006/relationships/externalLinkPath" Target="/Users/lizbeth.navarro/AppData/Local/Four%20Js/Genero%20Desktop%20Client/cache/ftcache/Report-Kaan-9912-02-06-18-16-01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 1"/>
    </sheetNames>
    <sheetDataSet>
      <sheetData sheetId="0" refreshError="1">
        <row r="4">
          <cell r="A4" t="str">
            <v># Emp</v>
          </cell>
          <cell r="B4" t="str">
            <v>Nombre</v>
          </cell>
          <cell r="C4" t="str">
            <v>Puesto</v>
          </cell>
          <cell r="D4" t="str">
            <v>Departamento</v>
          </cell>
          <cell r="E4" t="str">
            <v>C. Costos</v>
          </cell>
          <cell r="F4" t="str">
            <v>F. Ingreso</v>
          </cell>
          <cell r="G4" t="str">
            <v>F. Baja</v>
          </cell>
          <cell r="H4" t="str">
            <v>Motivo</v>
          </cell>
          <cell r="I4" t="str">
            <v>SubMotivo</v>
          </cell>
          <cell r="J4" t="str">
            <v>S Dario</v>
          </cell>
          <cell r="K4" t="str">
            <v>SDI</v>
          </cell>
          <cell r="L4" t="str">
            <v>Proceso</v>
          </cell>
          <cell r="M4" t="str">
            <v>T. Contrato</v>
          </cell>
          <cell r="N4" t="str">
            <v>F. Nacimiento</v>
          </cell>
          <cell r="O4" t="str">
            <v>RFC</v>
          </cell>
          <cell r="P4" t="str">
            <v>CURP</v>
          </cell>
          <cell r="Q4" t="str">
            <v>NSS</v>
          </cell>
          <cell r="R4" t="str">
            <v>Calle</v>
          </cell>
          <cell r="S4" t="str">
            <v>No.</v>
          </cell>
          <cell r="T4" t="str">
            <v>Fraccionamiento</v>
          </cell>
          <cell r="U4" t="str">
            <v>Colonia</v>
          </cell>
          <cell r="V4" t="str">
            <v>Municipio</v>
          </cell>
          <cell r="W4" t="str">
            <v>Estado</v>
          </cell>
          <cell r="X4" t="str">
            <v>C.P.</v>
          </cell>
          <cell r="Y4" t="str">
            <v>Telefono 1</v>
          </cell>
          <cell r="Z4" t="str">
            <v>Telefono 2</v>
          </cell>
          <cell r="AA4" t="str">
            <v>Género</v>
          </cell>
          <cell r="AB4" t="str">
            <v>Cuenta bancaria</v>
          </cell>
          <cell r="AC4" t="str">
            <v>T. Trabajador</v>
          </cell>
          <cell r="AD4" t="str">
            <v>Edo. Nacimiento</v>
          </cell>
          <cell r="AE4" t="str">
            <v>E. Civil</v>
          </cell>
          <cell r="AF4" t="str">
            <v>Escolaridad</v>
          </cell>
          <cell r="AG4" t="str">
            <v>T.Facturación</v>
          </cell>
          <cell r="AH4" t="str">
            <v>E-Mail Laboral</v>
          </cell>
          <cell r="AI4" t="str">
            <v>Tarjeta de Acceso</v>
          </cell>
          <cell r="AJ4" t="str">
            <v>E-Mail</v>
          </cell>
          <cell r="AK4" t="str">
            <v>T. Costo</v>
          </cell>
          <cell r="AL4" t="str">
            <v>Loc. IMSS</v>
          </cell>
          <cell r="AM4" t="str">
            <v>C. Trabajo</v>
          </cell>
          <cell r="AN4" t="str">
            <v>Ruta</v>
          </cell>
          <cell r="AO4" t="str">
            <v>Parada</v>
          </cell>
          <cell r="AP4"/>
          <cell r="AQ4" t="str">
            <v>Acreedor</v>
          </cell>
          <cell r="AR4" t="str">
            <v>Tipo Empleado</v>
          </cell>
        </row>
        <row r="5">
          <cell r="A5" t="str">
            <v>31142</v>
          </cell>
          <cell r="B5" t="str">
            <v>CASTRO MALVAEZ OSCAR</v>
          </cell>
          <cell r="C5" t="str">
            <v>MONTACARGUISTA</v>
          </cell>
          <cell r="D5" t="str">
            <v>PLANEACION Y LOGISTICA</v>
          </cell>
          <cell r="E5" t="str">
            <v>AV01030201 MX ALMACENAJE</v>
          </cell>
          <cell r="F5" t="str">
            <v>05/01/2024</v>
          </cell>
          <cell r="G5"/>
          <cell r="H5" t="str">
            <v>ALTA</v>
          </cell>
          <cell r="I5" t="str">
            <v>CONTRATACION</v>
          </cell>
          <cell r="J5">
            <v>261.07</v>
          </cell>
          <cell r="K5">
            <v>273.91000000000003</v>
          </cell>
          <cell r="L5" t="str">
            <v>SEM03</v>
          </cell>
          <cell r="M5" t="str">
            <v>3 CONFIANZA - TOLUCA</v>
          </cell>
          <cell r="N5" t="str">
            <v>23/06/1975</v>
          </cell>
          <cell r="O5" t="str">
            <v>CAMO750623VA0</v>
          </cell>
          <cell r="P5" t="str">
            <v>CAMO750623HMCSLS03</v>
          </cell>
          <cell r="Q5" t="str">
            <v>16007500990</v>
          </cell>
          <cell r="R5" t="str">
            <v>VOLCAN TACANA CASA 5B</v>
          </cell>
          <cell r="S5"/>
          <cell r="T5"/>
          <cell r="U5" t="str">
            <v>COLINAS DEL SOL</v>
          </cell>
          <cell r="V5"/>
          <cell r="W5" t="str">
            <v>MEXICO</v>
          </cell>
          <cell r="X5">
            <v>50903</v>
          </cell>
          <cell r="Y5" t="str">
            <v>7225342500</v>
          </cell>
          <cell r="Z5"/>
          <cell r="AA5" t="str">
            <v>H</v>
          </cell>
          <cell r="AB5" t="str">
            <v>60630385963</v>
          </cell>
          <cell r="AC5" t="str">
            <v>PERMANENTE</v>
          </cell>
          <cell r="AD5" t="str">
            <v>MEXICO</v>
          </cell>
          <cell r="AE5" t="str">
            <v>CASADO(A)</v>
          </cell>
          <cell r="AF5" t="str">
            <v>BACHILLERATO</v>
          </cell>
          <cell r="AG5" t="str">
            <v>(OMISION)</v>
          </cell>
          <cell r="AH5"/>
          <cell r="AI5"/>
          <cell r="AJ5" t="str">
            <v>oc9826872@gmail.com</v>
          </cell>
          <cell r="AK5" t="str">
            <v>COSTO VARIABLE</v>
          </cell>
          <cell r="AL5" t="str">
            <v>AVIOR CAL</v>
          </cell>
          <cell r="AM5" t="str">
            <v>AV03 KELLOGG TOLUCA</v>
          </cell>
          <cell r="AN5"/>
          <cell r="AO5"/>
          <cell r="AP5" t="str">
            <v>10080617</v>
          </cell>
          <cell r="AR5" t="str">
            <v>Aministrativo</v>
          </cell>
        </row>
        <row r="6">
          <cell r="A6" t="str">
            <v>31143</v>
          </cell>
          <cell r="B6" t="str">
            <v>RODRIGUEZ GUADARRAMA DIEGO ESTEBAN</v>
          </cell>
          <cell r="C6" t="str">
            <v>ANALISTA DE OPERACIONES</v>
          </cell>
          <cell r="D6" t="str">
            <v>OPERACIONES</v>
          </cell>
          <cell r="E6" t="str">
            <v>AV01010402 KELLOGS TOL SERV ADICIONALES</v>
          </cell>
          <cell r="F6" t="str">
            <v>05/01/2024</v>
          </cell>
          <cell r="G6"/>
          <cell r="H6" t="str">
            <v>ALTA</v>
          </cell>
          <cell r="I6" t="str">
            <v>CONTRATACION</v>
          </cell>
          <cell r="J6">
            <v>466.67</v>
          </cell>
          <cell r="K6">
            <v>489.62</v>
          </cell>
          <cell r="L6" t="str">
            <v>QUIN03</v>
          </cell>
          <cell r="M6" t="str">
            <v>3 CONFIANZA - TOLUCA</v>
          </cell>
          <cell r="N6" t="str">
            <v>10/08/2000</v>
          </cell>
          <cell r="O6" t="str">
            <v>ROGD000810SL3</v>
          </cell>
          <cell r="P6" t="str">
            <v>ROGD000810HMCDDGA5</v>
          </cell>
          <cell r="Q6" t="str">
            <v>90160069051</v>
          </cell>
          <cell r="R6" t="str">
            <v>VALLE DE BRAVO 5</v>
          </cell>
          <cell r="S6"/>
          <cell r="T6"/>
          <cell r="U6" t="str">
            <v>VALLE DEL CRISTAL</v>
          </cell>
          <cell r="V6"/>
          <cell r="W6" t="str">
            <v>MEXICO</v>
          </cell>
          <cell r="X6">
            <v>52149</v>
          </cell>
          <cell r="Y6" t="str">
            <v>7226033420</v>
          </cell>
          <cell r="Z6"/>
          <cell r="AA6" t="str">
            <v>H</v>
          </cell>
          <cell r="AB6" t="str">
            <v>56882395470</v>
          </cell>
          <cell r="AC6" t="str">
            <v>PERMANENTE</v>
          </cell>
          <cell r="AD6" t="str">
            <v>QUERETARO</v>
          </cell>
          <cell r="AE6" t="str">
            <v>SOLTERO(A)</v>
          </cell>
          <cell r="AF6" t="str">
            <v>PROFESIONAL</v>
          </cell>
          <cell r="AG6" t="str">
            <v>(OMISION)</v>
          </cell>
          <cell r="AH6"/>
          <cell r="AI6"/>
          <cell r="AJ6" t="str">
            <v>diegorogu10@gmail.com</v>
          </cell>
          <cell r="AK6" t="str">
            <v>COSTO VARIABLE</v>
          </cell>
          <cell r="AL6" t="str">
            <v>AVIOR CAL</v>
          </cell>
          <cell r="AM6" t="str">
            <v>AV03 KELLOGG TOLUCA</v>
          </cell>
          <cell r="AN6"/>
          <cell r="AO6"/>
          <cell r="AP6" t="str">
            <v>10080614</v>
          </cell>
          <cell r="AR6" t="str">
            <v>Aministrativo</v>
          </cell>
        </row>
        <row r="7">
          <cell r="A7" t="str">
            <v>31144</v>
          </cell>
          <cell r="B7" t="str">
            <v>MARTINEZ MOLINA LUIS</v>
          </cell>
          <cell r="C7" t="str">
            <v>MONTACARGUISTA</v>
          </cell>
          <cell r="D7" t="str">
            <v>PLANEACION Y LOGISTICA</v>
          </cell>
          <cell r="E7" t="str">
            <v>AV01010401 KELLOGS TOL ALMACENAJE</v>
          </cell>
          <cell r="F7" t="str">
            <v>08/01/2024</v>
          </cell>
          <cell r="G7"/>
          <cell r="H7" t="str">
            <v>ALTA</v>
          </cell>
          <cell r="I7" t="str">
            <v>CONTRATACION</v>
          </cell>
          <cell r="J7">
            <v>261.07</v>
          </cell>
          <cell r="K7">
            <v>273.91000000000003</v>
          </cell>
          <cell r="L7" t="str">
            <v>SEM03</v>
          </cell>
          <cell r="M7" t="str">
            <v>3 SINDICALIZADO - TOLUCA</v>
          </cell>
          <cell r="N7" t="str">
            <v>23/06/1988</v>
          </cell>
          <cell r="O7" t="str">
            <v>MAML880623TE7</v>
          </cell>
          <cell r="P7" t="str">
            <v>MAML880623HMCRLS05</v>
          </cell>
          <cell r="Q7" t="str">
            <v>16088821745</v>
          </cell>
          <cell r="R7" t="str">
            <v>L937 MED. OK 91109 9E70L</v>
          </cell>
          <cell r="S7"/>
          <cell r="T7"/>
          <cell r="U7" t="str">
            <v>SN PEDRO LA CABECERA</v>
          </cell>
          <cell r="V7"/>
          <cell r="W7" t="str">
            <v>MEXICO</v>
          </cell>
          <cell r="X7">
            <v>50740</v>
          </cell>
          <cell r="Y7" t="str">
            <v>7226869809</v>
          </cell>
          <cell r="Z7"/>
          <cell r="AA7" t="str">
            <v>H</v>
          </cell>
          <cell r="AB7" t="str">
            <v>56882393696</v>
          </cell>
          <cell r="AC7" t="str">
            <v>PERMANENTE</v>
          </cell>
          <cell r="AD7" t="str">
            <v>MEXICO</v>
          </cell>
          <cell r="AE7" t="str">
            <v>CASADO(A)</v>
          </cell>
          <cell r="AF7" t="str">
            <v>SECUNDARIA</v>
          </cell>
          <cell r="AG7" t="str">
            <v>(OMISION)</v>
          </cell>
          <cell r="AH7"/>
          <cell r="AI7"/>
          <cell r="AJ7" t="str">
            <v>luismartinoly2317@gmail.com</v>
          </cell>
          <cell r="AK7" t="str">
            <v>COSTO VARIABLE</v>
          </cell>
          <cell r="AL7" t="str">
            <v>AVIOR CAL</v>
          </cell>
          <cell r="AM7" t="str">
            <v>AV03 KELLOGG TOLUCA</v>
          </cell>
          <cell r="AN7"/>
          <cell r="AO7"/>
          <cell r="AP7" t="str">
            <v>10080704</v>
          </cell>
          <cell r="AR7" t="str">
            <v>Sindicalizado</v>
          </cell>
        </row>
        <row r="8">
          <cell r="A8" t="str">
            <v>31145</v>
          </cell>
          <cell r="B8" t="str">
            <v>MONROY GARCIA SALOMON</v>
          </cell>
          <cell r="C8" t="str">
            <v>MONTACARGUISTA</v>
          </cell>
          <cell r="D8" t="str">
            <v>PLANEACION Y LOGISTICA</v>
          </cell>
          <cell r="E8" t="str">
            <v>AV01010401 KELLOGS TOL ALMACENAJE</v>
          </cell>
          <cell r="F8" t="str">
            <v>08/01/2024</v>
          </cell>
          <cell r="G8" t="str">
            <v>19/01/2024</v>
          </cell>
          <cell r="H8" t="str">
            <v>BAJA</v>
          </cell>
          <cell r="I8" t="str">
            <v>ABANDONO DE EMPLEO</v>
          </cell>
          <cell r="J8">
            <v>261.07</v>
          </cell>
          <cell r="K8">
            <v>273.91000000000003</v>
          </cell>
          <cell r="L8" t="str">
            <v>SEM03</v>
          </cell>
          <cell r="M8" t="str">
            <v>3 SINDICALIZADO - TOLUCA</v>
          </cell>
          <cell r="N8" t="str">
            <v>04/08/1998</v>
          </cell>
          <cell r="O8" t="str">
            <v>MOGS980804QK4</v>
          </cell>
          <cell r="P8" t="str">
            <v>MOGS980804HMCNRL02</v>
          </cell>
          <cell r="Q8" t="str">
            <v>26179821025</v>
          </cell>
          <cell r="R8" t="str">
            <v>NICOLAS BRAVO 112</v>
          </cell>
          <cell r="S8"/>
          <cell r="T8"/>
          <cell r="U8" t="str">
            <v>SAN PABLO AUTOPAN</v>
          </cell>
          <cell r="V8"/>
          <cell r="W8" t="str">
            <v>MEXICO</v>
          </cell>
          <cell r="X8">
            <v>50290</v>
          </cell>
          <cell r="Y8" t="str">
            <v>7226442186</v>
          </cell>
          <cell r="Z8"/>
          <cell r="AA8" t="str">
            <v>H</v>
          </cell>
          <cell r="AB8" t="str">
            <v>56882396371</v>
          </cell>
          <cell r="AC8" t="str">
            <v>PERMANENTE</v>
          </cell>
          <cell r="AD8" t="str">
            <v>MEXICO</v>
          </cell>
          <cell r="AE8" t="str">
            <v>CASADO(A)</v>
          </cell>
          <cell r="AF8" t="str">
            <v>SECUNDARIA</v>
          </cell>
          <cell r="AG8" t="str">
            <v>(OMISION)</v>
          </cell>
          <cell r="AH8"/>
          <cell r="AI8"/>
          <cell r="AJ8" t="str">
            <v>100salomonroy@gmail.com</v>
          </cell>
          <cell r="AK8" t="str">
            <v>COSTO VARIABLE</v>
          </cell>
          <cell r="AL8" t="str">
            <v>AVIOR CAL</v>
          </cell>
          <cell r="AM8" t="str">
            <v>AV03 KELLOGG TOLUCA</v>
          </cell>
          <cell r="AN8"/>
          <cell r="AO8"/>
          <cell r="AP8" t="str">
            <v>10030337</v>
          </cell>
          <cell r="AR8" t="str">
            <v>Sindicalizado</v>
          </cell>
        </row>
        <row r="9">
          <cell r="A9" t="str">
            <v>31146</v>
          </cell>
          <cell r="B9" t="str">
            <v>RODRIGUEZ LEON RODOLFO</v>
          </cell>
          <cell r="C9" t="str">
            <v>AUXILIAR DE OPERACIONES</v>
          </cell>
          <cell r="D9" t="str">
            <v>OPERACIONES</v>
          </cell>
          <cell r="E9" t="str">
            <v>AV01010401 KELLOGS TOL ALMACENAJE</v>
          </cell>
          <cell r="F9" t="str">
            <v>09/01/2024</v>
          </cell>
          <cell r="G9" t="str">
            <v>16/01/2024</v>
          </cell>
          <cell r="H9" t="str">
            <v>BAJA</v>
          </cell>
          <cell r="I9" t="str">
            <v>ABANDONO DE EMPLEO</v>
          </cell>
          <cell r="J9">
            <v>248.93</v>
          </cell>
          <cell r="K9">
            <v>261.17</v>
          </cell>
          <cell r="L9" t="str">
            <v>SEM03</v>
          </cell>
          <cell r="M9" t="str">
            <v>3 SINDICALIZADO - TOLUCA</v>
          </cell>
          <cell r="N9" t="str">
            <v>04/08/1986</v>
          </cell>
          <cell r="O9" t="str">
            <v>ROLR860804NN0</v>
          </cell>
          <cell r="P9" t="str">
            <v>ROLR860804HMCDND03</v>
          </cell>
          <cell r="Q9" t="str">
            <v>16038631111</v>
          </cell>
          <cell r="R9" t="str">
            <v>JAIME ALMAZAN 7 BARR BALBUENA</v>
          </cell>
          <cell r="S9"/>
          <cell r="T9"/>
          <cell r="U9" t="str">
            <v>TLACHALOYA</v>
          </cell>
          <cell r="V9"/>
          <cell r="W9" t="str">
            <v>MEXICO</v>
          </cell>
          <cell r="X9">
            <v>50295</v>
          </cell>
          <cell r="Y9" t="str">
            <v>7226759279</v>
          </cell>
          <cell r="Z9"/>
          <cell r="AA9" t="str">
            <v>H</v>
          </cell>
          <cell r="AB9" t="str">
            <v>56873845833</v>
          </cell>
          <cell r="AC9" t="str">
            <v>PERMANENTE</v>
          </cell>
          <cell r="AD9" t="str">
            <v>MEXICO</v>
          </cell>
          <cell r="AE9" t="str">
            <v>SOLTERO(A)</v>
          </cell>
          <cell r="AF9" t="str">
            <v>SECUNDARIA</v>
          </cell>
          <cell r="AG9" t="str">
            <v>(OMISION)</v>
          </cell>
          <cell r="AH9"/>
          <cell r="AI9"/>
          <cell r="AJ9" t="str">
            <v>rodolforodriguezleon9@gmail.com</v>
          </cell>
          <cell r="AK9" t="str">
            <v>COSTO VARIABLE</v>
          </cell>
          <cell r="AL9" t="str">
            <v>AVIOR CAL</v>
          </cell>
          <cell r="AM9" t="str">
            <v>AV03 KELLOGG TOLUCA</v>
          </cell>
          <cell r="AN9"/>
          <cell r="AO9"/>
          <cell r="AP9" t="str">
            <v>10080706</v>
          </cell>
          <cell r="AR9" t="str">
            <v>Sindicalizado</v>
          </cell>
        </row>
        <row r="10">
          <cell r="A10" t="str">
            <v>31147</v>
          </cell>
          <cell r="B10" t="str">
            <v>MARTINEZ GONZALEZ MARCELO</v>
          </cell>
          <cell r="C10" t="str">
            <v>AUXILIAR DE SERVICIOS GENERALES</v>
          </cell>
          <cell r="D10" t="str">
            <v>SERVICIOS GENERALES</v>
          </cell>
          <cell r="E10" t="str">
            <v>AV01010401 KELLOGS TOL ALMACENAJE</v>
          </cell>
          <cell r="F10" t="str">
            <v>11/01/2024</v>
          </cell>
          <cell r="G10"/>
          <cell r="H10" t="str">
            <v>ALTA</v>
          </cell>
          <cell r="I10" t="str">
            <v>CONTRATACION</v>
          </cell>
          <cell r="J10">
            <v>248.93</v>
          </cell>
          <cell r="K10">
            <v>261.17</v>
          </cell>
          <cell r="L10" t="str">
            <v>SEM03</v>
          </cell>
          <cell r="M10" t="str">
            <v>3 SINDICALIZADO - TOLUCA</v>
          </cell>
          <cell r="N10" t="str">
            <v>06/04/1993</v>
          </cell>
          <cell r="O10" t="str">
            <v>MAGM9304061J5</v>
          </cell>
          <cell r="P10" t="str">
            <v>MAGM930406HMCRNR07</v>
          </cell>
          <cell r="Q10" t="str">
            <v>16119311849</v>
          </cell>
          <cell r="R10" t="str">
            <v>SAN JERONIMO 18</v>
          </cell>
          <cell r="S10"/>
          <cell r="T10"/>
          <cell r="U10" t="str">
            <v>SAN PABLO AUTOPAN</v>
          </cell>
          <cell r="V10"/>
          <cell r="W10" t="str">
            <v>MEXICO</v>
          </cell>
          <cell r="X10">
            <v>50290</v>
          </cell>
          <cell r="Y10" t="str">
            <v>7222318086</v>
          </cell>
          <cell r="Z10"/>
          <cell r="AA10" t="str">
            <v>H</v>
          </cell>
          <cell r="AB10" t="str">
            <v>56882745097</v>
          </cell>
          <cell r="AC10" t="str">
            <v>PERMANENTE</v>
          </cell>
          <cell r="AD10" t="str">
            <v>MEXICO</v>
          </cell>
          <cell r="AE10" t="str">
            <v>SOLTERO(A)</v>
          </cell>
          <cell r="AF10" t="str">
            <v>SECUNDARIA</v>
          </cell>
          <cell r="AG10" t="str">
            <v>(OMISION)</v>
          </cell>
          <cell r="AH10"/>
          <cell r="AI10"/>
          <cell r="AJ10" t="str">
            <v>martinezgonzalez060493@gmail.com</v>
          </cell>
          <cell r="AK10" t="str">
            <v>COSTO VARIABLE</v>
          </cell>
          <cell r="AL10" t="str">
            <v>AVIOR CAL</v>
          </cell>
          <cell r="AM10" t="str">
            <v>AV03 KELLOGG TOLUCA</v>
          </cell>
          <cell r="AN10"/>
          <cell r="AO10"/>
          <cell r="AP10" t="str">
            <v>10080847</v>
          </cell>
          <cell r="AR10" t="str">
            <v>Sindicalizado</v>
          </cell>
        </row>
        <row r="11">
          <cell r="A11" t="str">
            <v>31148</v>
          </cell>
          <cell r="B11" t="str">
            <v>MEDINA PIÑA EMMANUEL</v>
          </cell>
          <cell r="C11" t="str">
            <v>CONTADOR CICLICO</v>
          </cell>
          <cell r="D11" t="str">
            <v>PLANEACION Y LOGISTICA</v>
          </cell>
          <cell r="E11" t="str">
            <v>AV01010401 KELLOGS TOL ALMACENAJE</v>
          </cell>
          <cell r="F11" t="str">
            <v>11/01/2024</v>
          </cell>
          <cell r="G11"/>
          <cell r="H11" t="str">
            <v>ALTA</v>
          </cell>
          <cell r="I11" t="str">
            <v>CONTRATACION</v>
          </cell>
          <cell r="J11">
            <v>248.93</v>
          </cell>
          <cell r="K11">
            <v>261.17</v>
          </cell>
          <cell r="L11" t="str">
            <v>SEM03</v>
          </cell>
          <cell r="M11" t="str">
            <v>3 CONFIANZA - TOLUCA</v>
          </cell>
          <cell r="N11" t="str">
            <v>16/09/2001</v>
          </cell>
          <cell r="O11" t="str">
            <v>MEPE010916UJ9</v>
          </cell>
          <cell r="P11" t="str">
            <v>MEPE010916HMCDXMA5</v>
          </cell>
          <cell r="Q11" t="str">
            <v>17190198618</v>
          </cell>
          <cell r="R11" t="str">
            <v>LOMA DEL MADRONO JIQUIPIL</v>
          </cell>
          <cell r="S11"/>
          <cell r="T11"/>
          <cell r="U11" t="str">
            <v>PORTEZUELOS</v>
          </cell>
          <cell r="V11"/>
          <cell r="W11" t="str">
            <v>MEXICO</v>
          </cell>
          <cell r="X11">
            <v>50895</v>
          </cell>
          <cell r="Y11" t="str">
            <v>7121995913</v>
          </cell>
          <cell r="Z11"/>
          <cell r="AA11" t="str">
            <v>H</v>
          </cell>
          <cell r="AB11" t="str">
            <v>56882737091</v>
          </cell>
          <cell r="AC11" t="str">
            <v>PERMANENTE</v>
          </cell>
          <cell r="AD11" t="str">
            <v>MEXICO</v>
          </cell>
          <cell r="AE11" t="str">
            <v>SOLTERO(A)</v>
          </cell>
          <cell r="AF11" t="str">
            <v>BACHILLERATO</v>
          </cell>
          <cell r="AG11" t="str">
            <v>(OMISION)</v>
          </cell>
          <cell r="AH11"/>
          <cell r="AI11"/>
          <cell r="AJ11" t="str">
            <v>alfredopina132@gmail.com</v>
          </cell>
          <cell r="AK11" t="str">
            <v>COSTO VARIABLE</v>
          </cell>
          <cell r="AL11" t="str">
            <v>AVIOR CAL</v>
          </cell>
          <cell r="AM11" t="str">
            <v>AV03 KELLOGG TOLUCA</v>
          </cell>
          <cell r="AN11"/>
          <cell r="AO11"/>
          <cell r="AP11" t="str">
            <v>10080841</v>
          </cell>
          <cell r="AR11" t="str">
            <v>Aministrativo</v>
          </cell>
        </row>
        <row r="12">
          <cell r="A12" t="str">
            <v>31149</v>
          </cell>
          <cell r="B12" t="str">
            <v>MONTOYA NICOLAS JUAN MANUEL</v>
          </cell>
          <cell r="C12" t="str">
            <v>AUXILIAR DE SERVICIOS GENERALES</v>
          </cell>
          <cell r="D12" t="str">
            <v>SERVICIOS GENERALES</v>
          </cell>
          <cell r="E12" t="str">
            <v>AV01010401 KELLOGS TOL ALMACENAJE</v>
          </cell>
          <cell r="F12" t="str">
            <v>11/01/2024</v>
          </cell>
          <cell r="G12"/>
          <cell r="H12" t="str">
            <v>ALTA</v>
          </cell>
          <cell r="I12" t="str">
            <v>CONTRATACION</v>
          </cell>
          <cell r="J12">
            <v>248.93</v>
          </cell>
          <cell r="K12">
            <v>261.17</v>
          </cell>
          <cell r="L12" t="str">
            <v>SEM03</v>
          </cell>
          <cell r="M12" t="str">
            <v>3 SINDICALIZADO - TOLUCA</v>
          </cell>
          <cell r="N12" t="str">
            <v>21/02/2001</v>
          </cell>
          <cell r="O12" t="str">
            <v>MONJ010221UR9</v>
          </cell>
          <cell r="P12" t="str">
            <v>MONJ010221HMCNCNA8</v>
          </cell>
          <cell r="Q12" t="str">
            <v>63160104657</v>
          </cell>
          <cell r="R12" t="str">
            <v>SAN LORENZO CUAUHTENCO</v>
          </cell>
          <cell r="S12"/>
          <cell r="T12"/>
          <cell r="U12" t="str">
            <v>SN LORENZO CUAHUTENC</v>
          </cell>
          <cell r="V12"/>
          <cell r="W12" t="str">
            <v>MEXICO</v>
          </cell>
          <cell r="X12">
            <v>50907</v>
          </cell>
          <cell r="Y12" t="str">
            <v>7293847061</v>
          </cell>
          <cell r="Z12"/>
          <cell r="AA12" t="str">
            <v>H</v>
          </cell>
          <cell r="AB12" t="str">
            <v>56882744057</v>
          </cell>
          <cell r="AC12" t="str">
            <v>PERMANENTE</v>
          </cell>
          <cell r="AD12" t="str">
            <v>MEXICO</v>
          </cell>
          <cell r="AE12" t="str">
            <v>SOLTERO(A)</v>
          </cell>
          <cell r="AF12" t="str">
            <v>BACHILLERATO</v>
          </cell>
          <cell r="AG12" t="str">
            <v>(OMISION)</v>
          </cell>
          <cell r="AH12"/>
          <cell r="AI12"/>
          <cell r="AJ12" t="str">
            <v>montoyanicolasmanuel@gmail.com</v>
          </cell>
          <cell r="AK12" t="str">
            <v>COSTO VARIABLE</v>
          </cell>
          <cell r="AL12" t="str">
            <v>AVIOR CAL</v>
          </cell>
          <cell r="AM12" t="str">
            <v>AV03 KELLOGG TOLUCA</v>
          </cell>
          <cell r="AN12"/>
          <cell r="AO12"/>
          <cell r="AP12" t="str">
            <v>10080848</v>
          </cell>
          <cell r="AR12" t="str">
            <v>Sindicalizado</v>
          </cell>
        </row>
        <row r="13">
          <cell r="A13" t="str">
            <v>31150</v>
          </cell>
          <cell r="B13" t="str">
            <v>VELAZQUEZ MARTINEZ JAVIER</v>
          </cell>
          <cell r="C13" t="str">
            <v>MONTACARGUISTA</v>
          </cell>
          <cell r="D13" t="str">
            <v>PLANEACION Y LOGISTICA</v>
          </cell>
          <cell r="E13" t="str">
            <v>AV01010401 KELLOGS TOL ALMACENAJE</v>
          </cell>
          <cell r="F13" t="str">
            <v>11/01/2024</v>
          </cell>
          <cell r="G13"/>
          <cell r="H13" t="str">
            <v>ALTA</v>
          </cell>
          <cell r="I13" t="str">
            <v>CONTRATACION</v>
          </cell>
          <cell r="J13">
            <v>261.07</v>
          </cell>
          <cell r="K13">
            <v>273.91000000000003</v>
          </cell>
          <cell r="L13" t="str">
            <v>SEM03</v>
          </cell>
          <cell r="M13" t="str">
            <v>3 SINDICALIZADO - TOLUCA</v>
          </cell>
          <cell r="N13" t="str">
            <v>19/11/2000</v>
          </cell>
          <cell r="O13" t="str">
            <v>VEMJ001119A51</v>
          </cell>
          <cell r="P13" t="str">
            <v>VEMJ001119HMCLRVA0</v>
          </cell>
          <cell r="Q13" t="str">
            <v>15160027460</v>
          </cell>
          <cell r="R13" t="str">
            <v>PRIV NICOLAS BRAVO 12</v>
          </cell>
          <cell r="S13"/>
          <cell r="T13"/>
          <cell r="U13" t="str">
            <v>SAN PABLO AUTOPAN</v>
          </cell>
          <cell r="V13"/>
          <cell r="W13" t="str">
            <v>MEXICO</v>
          </cell>
          <cell r="X13">
            <v>50290</v>
          </cell>
          <cell r="Y13" t="str">
            <v>7221245759</v>
          </cell>
          <cell r="Z13"/>
          <cell r="AA13" t="str">
            <v>H</v>
          </cell>
          <cell r="AB13" t="str">
            <v>56882718808</v>
          </cell>
          <cell r="AC13" t="str">
            <v>PERMANENTE</v>
          </cell>
          <cell r="AD13" t="str">
            <v>MEXICO</v>
          </cell>
          <cell r="AE13" t="str">
            <v>CASADO(A)</v>
          </cell>
          <cell r="AF13" t="str">
            <v>BACHILLERATO</v>
          </cell>
          <cell r="AG13" t="str">
            <v>(OMISION)</v>
          </cell>
          <cell r="AH13"/>
          <cell r="AI13"/>
          <cell r="AJ13" t="str">
            <v>jv060609@gmail.com</v>
          </cell>
          <cell r="AK13" t="str">
            <v>COSTO VARIABLE</v>
          </cell>
          <cell r="AL13" t="str">
            <v>AVIOR CAL</v>
          </cell>
          <cell r="AM13" t="str">
            <v>AV03 KELLOGG TOLUCA</v>
          </cell>
          <cell r="AN13"/>
          <cell r="AO13"/>
          <cell r="AP13" t="str">
            <v>10080843</v>
          </cell>
          <cell r="AR13" t="str">
            <v>Sindicalizado</v>
          </cell>
        </row>
        <row r="14">
          <cell r="A14" t="str">
            <v>31151</v>
          </cell>
          <cell r="B14" t="str">
            <v>GARCIA AYALA JOSE DE JESUS</v>
          </cell>
          <cell r="C14" t="str">
            <v>CONTADOR CICLICO</v>
          </cell>
          <cell r="D14" t="str">
            <v>PLANEACION Y LOGISTICA</v>
          </cell>
          <cell r="E14" t="str">
            <v>AV01010401 KELLOGS TOL ALMACENAJE</v>
          </cell>
          <cell r="F14" t="str">
            <v>12/01/2024</v>
          </cell>
          <cell r="G14"/>
          <cell r="H14" t="str">
            <v>ALTA</v>
          </cell>
          <cell r="I14" t="str">
            <v>CONTRATACION</v>
          </cell>
          <cell r="J14">
            <v>248.93</v>
          </cell>
          <cell r="K14">
            <v>261.17</v>
          </cell>
          <cell r="L14" t="str">
            <v>SEM03</v>
          </cell>
          <cell r="M14" t="str">
            <v>3 CONFIANZA - TOLUCA</v>
          </cell>
          <cell r="N14" t="str">
            <v>27/10/1995</v>
          </cell>
          <cell r="O14" t="str">
            <v>GAAJ951027UB4</v>
          </cell>
          <cell r="P14" t="str">
            <v>GAAJ951027HHGRYS03</v>
          </cell>
          <cell r="Q14" t="str">
            <v>05169543435</v>
          </cell>
          <cell r="R14" t="str">
            <v>MZ 25 LOTE 19 CASA 3959</v>
          </cell>
          <cell r="S14"/>
          <cell r="T14"/>
          <cell r="U14" t="str">
            <v>RANCHO SAN JUAN</v>
          </cell>
          <cell r="V14"/>
          <cell r="W14" t="str">
            <v>MEXICO</v>
          </cell>
          <cell r="X14">
            <v>50903</v>
          </cell>
          <cell r="Y14" t="str">
            <v>7293017774</v>
          </cell>
          <cell r="Z14"/>
          <cell r="AA14" t="str">
            <v>H</v>
          </cell>
          <cell r="AB14" t="str">
            <v>56882840615</v>
          </cell>
          <cell r="AC14" t="str">
            <v>PERMANENTE</v>
          </cell>
          <cell r="AD14" t="str">
            <v>MEXICO</v>
          </cell>
          <cell r="AE14" t="str">
            <v>CASADO(A)</v>
          </cell>
          <cell r="AF14" t="str">
            <v>PROFESIONAL</v>
          </cell>
          <cell r="AG14" t="str">
            <v>(OMISION)</v>
          </cell>
          <cell r="AH14"/>
          <cell r="AI14"/>
          <cell r="AJ14" t="str">
            <v>jesus.garciaayala@icloud.com</v>
          </cell>
          <cell r="AK14" t="str">
            <v>COSTO VARIABLE</v>
          </cell>
          <cell r="AL14" t="str">
            <v>AVIOR CAL</v>
          </cell>
          <cell r="AM14" t="str">
            <v>AV03 KELLOGG TOLUCA</v>
          </cell>
          <cell r="AN14"/>
          <cell r="AO14"/>
          <cell r="AP14" t="str">
            <v>10080960</v>
          </cell>
          <cell r="AR14" t="str">
            <v>Aministrativo</v>
          </cell>
        </row>
        <row r="15">
          <cell r="A15" t="str">
            <v>31152</v>
          </cell>
          <cell r="B15" t="str">
            <v>ZENDEJAS CARRILLO JOSE ROBERTO</v>
          </cell>
          <cell r="C15" t="str">
            <v>AUXILIAR DE SERVICIOS GENERALES</v>
          </cell>
          <cell r="D15" t="str">
            <v>SERVICIOS GENERALES</v>
          </cell>
          <cell r="E15" t="str">
            <v>AV01010401 KELLOGS TOL ALMACENAJE</v>
          </cell>
          <cell r="F15" t="str">
            <v>12/01/2024</v>
          </cell>
          <cell r="G15"/>
          <cell r="H15" t="str">
            <v>ALTA</v>
          </cell>
          <cell r="I15" t="str">
            <v>CONTRATACION</v>
          </cell>
          <cell r="J15">
            <v>248.93</v>
          </cell>
          <cell r="K15">
            <v>261.17</v>
          </cell>
          <cell r="L15" t="str">
            <v>SEM03</v>
          </cell>
          <cell r="M15" t="str">
            <v>3 SINDICALIZADO - TOLUCA</v>
          </cell>
          <cell r="N15" t="str">
            <v>09/09/1998</v>
          </cell>
          <cell r="O15" t="str">
            <v>ZECR980909780</v>
          </cell>
          <cell r="P15" t="str">
            <v>ZECR980909HDFNRB05</v>
          </cell>
          <cell r="Q15" t="str">
            <v>48169869855</v>
          </cell>
          <cell r="R15" t="str">
            <v>V BICENTENARIO MZ38 C 6364</v>
          </cell>
          <cell r="S15"/>
          <cell r="T15"/>
          <cell r="U15" t="str">
            <v>RANCHO SAN JUAN</v>
          </cell>
          <cell r="V15"/>
          <cell r="W15" t="str">
            <v>MEXICO</v>
          </cell>
          <cell r="X15">
            <v>50903</v>
          </cell>
          <cell r="Y15" t="str">
            <v>8118989026</v>
          </cell>
          <cell r="Z15"/>
          <cell r="AA15" t="str">
            <v>H</v>
          </cell>
          <cell r="AB15" t="str">
            <v>56863353856</v>
          </cell>
          <cell r="AC15" t="str">
            <v>PERMANENTE</v>
          </cell>
          <cell r="AD15" t="str">
            <v>MEXICO</v>
          </cell>
          <cell r="AE15" t="str">
            <v>UNION LIBRE</v>
          </cell>
          <cell r="AF15" t="str">
            <v>SECUNDARIA</v>
          </cell>
          <cell r="AG15" t="str">
            <v>(OMISION)</v>
          </cell>
          <cell r="AH15"/>
          <cell r="AI15"/>
          <cell r="AJ15" t="str">
            <v>jossepepezc23@hotmail.com</v>
          </cell>
          <cell r="AK15" t="str">
            <v>COSTO VARIABLE</v>
          </cell>
          <cell r="AL15" t="str">
            <v>AVIOR CAL</v>
          </cell>
          <cell r="AM15" t="str">
            <v>AV03 KELLOGG TOLUCA</v>
          </cell>
          <cell r="AN15"/>
          <cell r="AO15"/>
          <cell r="AP15" t="str">
            <v>10080962</v>
          </cell>
          <cell r="AR15" t="str">
            <v>Sindicalizado</v>
          </cell>
        </row>
        <row r="16">
          <cell r="A16" t="str">
            <v>31153</v>
          </cell>
          <cell r="B16" t="str">
            <v>ARELLANO LARA LUIS DAVID</v>
          </cell>
          <cell r="C16" t="str">
            <v>MONTACARGUISTA</v>
          </cell>
          <cell r="D16" t="str">
            <v>PLANEACION Y LOGISTICA</v>
          </cell>
          <cell r="E16" t="str">
            <v>AV01010401 KELLOGS TOL ALMACENAJE</v>
          </cell>
          <cell r="F16" t="str">
            <v>15/01/2024</v>
          </cell>
          <cell r="G16"/>
          <cell r="H16" t="str">
            <v>ALTA</v>
          </cell>
          <cell r="I16" t="str">
            <v>CONTRATACION</v>
          </cell>
          <cell r="J16">
            <v>261.07</v>
          </cell>
          <cell r="K16">
            <v>273.91000000000003</v>
          </cell>
          <cell r="L16" t="str">
            <v>SEM03</v>
          </cell>
          <cell r="M16" t="str">
            <v>3 SINDICALIZADO - TOLUCA</v>
          </cell>
          <cell r="N16" t="str">
            <v>09/08/2000</v>
          </cell>
          <cell r="O16" t="str">
            <v>AELL000809967</v>
          </cell>
          <cell r="P16" t="str">
            <v>AELL000809HMCRRSA1</v>
          </cell>
          <cell r="Q16" t="str">
            <v>07160035197</v>
          </cell>
          <cell r="R16" t="str">
            <v>SAUCES 10</v>
          </cell>
          <cell r="S16"/>
          <cell r="T16"/>
          <cell r="U16" t="str">
            <v>SANTA CRUZ ATZCAPOTZALTONGO</v>
          </cell>
          <cell r="V16"/>
          <cell r="W16" t="str">
            <v>MEXICO</v>
          </cell>
          <cell r="X16">
            <v>50290</v>
          </cell>
          <cell r="Y16" t="str">
            <v>7293284973</v>
          </cell>
          <cell r="Z16"/>
          <cell r="AA16" t="str">
            <v>H</v>
          </cell>
          <cell r="AB16" t="str">
            <v>56882961303</v>
          </cell>
          <cell r="AC16" t="str">
            <v>PERMANENTE</v>
          </cell>
          <cell r="AD16" t="str">
            <v>MEXICO</v>
          </cell>
          <cell r="AE16" t="str">
            <v>SOLTERO(A)</v>
          </cell>
          <cell r="AF16" t="str">
            <v>BACHILLERATO</v>
          </cell>
          <cell r="AG16" t="str">
            <v>(OMISION)</v>
          </cell>
          <cell r="AH16"/>
          <cell r="AI16"/>
          <cell r="AJ16" t="str">
            <v>larad2989@gmail.com</v>
          </cell>
          <cell r="AK16" t="str">
            <v>COSTO VARIABLE</v>
          </cell>
          <cell r="AL16" t="str">
            <v>AVIOR CAL</v>
          </cell>
          <cell r="AM16" t="str">
            <v>AV03 KELLOGG TOLUCA</v>
          </cell>
          <cell r="AN16"/>
          <cell r="AO16"/>
          <cell r="AP16" t="str">
            <v>10081071</v>
          </cell>
          <cell r="AR16" t="str">
            <v>Sindicalizado</v>
          </cell>
        </row>
        <row r="17">
          <cell r="A17" t="str">
            <v>31154</v>
          </cell>
          <cell r="B17" t="str">
            <v>DANIEL TELLEZ ZURIEL</v>
          </cell>
          <cell r="C17" t="str">
            <v>AUXILIAR DE OPERACIONES</v>
          </cell>
          <cell r="D17" t="str">
            <v>OPERACIONES</v>
          </cell>
          <cell r="E17" t="str">
            <v>AV01010401 KELLOGS TOL ALMACENAJE</v>
          </cell>
          <cell r="F17" t="str">
            <v>18/01/2024</v>
          </cell>
          <cell r="G17" t="str">
            <v>02/02/2024</v>
          </cell>
          <cell r="H17" t="str">
            <v>BAJA</v>
          </cell>
          <cell r="I17" t="str">
            <v>ABANDONO DE EMPLEO</v>
          </cell>
          <cell r="J17">
            <v>248.93</v>
          </cell>
          <cell r="K17">
            <v>261.17</v>
          </cell>
          <cell r="L17" t="str">
            <v>SEM03</v>
          </cell>
          <cell r="M17" t="str">
            <v>3 SINDICALIZADO - TOLUCA</v>
          </cell>
          <cell r="N17" t="str">
            <v>19/07/1995</v>
          </cell>
          <cell r="O17" t="str">
            <v>DATZ950719KW0</v>
          </cell>
          <cell r="P17" t="str">
            <v>DATZ950719HMCNLR02</v>
          </cell>
          <cell r="Q17" t="str">
            <v>60149549812</v>
          </cell>
          <cell r="R17" t="str">
            <v>LERDO DE TEJADA 25 A</v>
          </cell>
          <cell r="S17"/>
          <cell r="T17"/>
          <cell r="U17" t="str">
            <v>SAN PABLO AUTOPAN</v>
          </cell>
          <cell r="V17"/>
          <cell r="W17" t="str">
            <v>MEXICO</v>
          </cell>
          <cell r="X17">
            <v>50290</v>
          </cell>
          <cell r="Y17" t="str">
            <v>7227017900</v>
          </cell>
          <cell r="Z17"/>
          <cell r="AA17" t="str">
            <v>H</v>
          </cell>
          <cell r="AB17" t="str">
            <v>56841923445</v>
          </cell>
          <cell r="AC17" t="str">
            <v>PERMANENTE</v>
          </cell>
          <cell r="AD17" t="str">
            <v>MEXICO</v>
          </cell>
          <cell r="AE17" t="str">
            <v>SOLTERO(A)</v>
          </cell>
          <cell r="AF17" t="str">
            <v>SECUNDARIA</v>
          </cell>
          <cell r="AG17" t="str">
            <v>(OMISION)</v>
          </cell>
          <cell r="AH17"/>
          <cell r="AI17"/>
          <cell r="AJ17" t="str">
            <v>tellezdani322@gmail.com</v>
          </cell>
          <cell r="AK17" t="str">
            <v>COSTO VARIABLE</v>
          </cell>
          <cell r="AL17" t="str">
            <v>AVIOR CAL</v>
          </cell>
          <cell r="AM17" t="str">
            <v>AV03 KELLOGG TOLUCA</v>
          </cell>
          <cell r="AN17"/>
          <cell r="AO17"/>
          <cell r="AP17" t="str">
            <v>10081244</v>
          </cell>
          <cell r="AR17" t="str">
            <v>Sindicalizado</v>
          </cell>
        </row>
        <row r="18">
          <cell r="A18" t="str">
            <v>31155</v>
          </cell>
          <cell r="B18" t="str">
            <v>ESCALONA VALDEZ EDUARDO</v>
          </cell>
          <cell r="C18" t="str">
            <v>AUXILIAR DE SERVICIOS GENERALES</v>
          </cell>
          <cell r="D18" t="str">
            <v>SERVICIOS GENERALES</v>
          </cell>
          <cell r="E18" t="str">
            <v>AV01010401 KELLOGS TOL ALMACENAJE</v>
          </cell>
          <cell r="F18" t="str">
            <v>18/01/2024</v>
          </cell>
          <cell r="G18" t="str">
            <v>02/02/2024</v>
          </cell>
          <cell r="H18" t="str">
            <v>BAJA</v>
          </cell>
          <cell r="I18" t="str">
            <v>ABANDONO DE EMPLEO</v>
          </cell>
          <cell r="J18">
            <v>248.93</v>
          </cell>
          <cell r="K18">
            <v>261.17</v>
          </cell>
          <cell r="L18" t="str">
            <v>SEM03</v>
          </cell>
          <cell r="M18" t="str">
            <v>3 SINDICALIZADO - TOLUCA</v>
          </cell>
          <cell r="N18" t="str">
            <v>29/10/1997</v>
          </cell>
          <cell r="O18" t="str">
            <v>EAVE9710298C2</v>
          </cell>
          <cell r="P18" t="str">
            <v>EAVE971029HMCSLD06</v>
          </cell>
          <cell r="Q18" t="str">
            <v>08159731499</v>
          </cell>
          <cell r="R18" t="str">
            <v>EL ARENAL 5</v>
          </cell>
          <cell r="S18"/>
          <cell r="T18"/>
          <cell r="U18" t="str">
            <v>VILLA CUAUHTEMOC</v>
          </cell>
          <cell r="V18"/>
          <cell r="W18" t="str">
            <v>MEXICO</v>
          </cell>
          <cell r="X18">
            <v>52080</v>
          </cell>
          <cell r="Y18" t="str">
            <v>7221145004</v>
          </cell>
          <cell r="Z18"/>
          <cell r="AA18" t="str">
            <v>H</v>
          </cell>
          <cell r="AB18" t="str">
            <v>56883305056</v>
          </cell>
          <cell r="AC18" t="str">
            <v>PERMANENTE</v>
          </cell>
          <cell r="AD18" t="str">
            <v>MEXICO</v>
          </cell>
          <cell r="AE18" t="str">
            <v>SOLTERO(A)</v>
          </cell>
          <cell r="AF18" t="str">
            <v>SECUNDARIA</v>
          </cell>
          <cell r="AG18" t="str">
            <v>(OMISION)</v>
          </cell>
          <cell r="AH18"/>
          <cell r="AI18"/>
          <cell r="AJ18" t="str">
            <v>escavldez256@gmail.com</v>
          </cell>
          <cell r="AK18" t="str">
            <v>COSTO VARIABLE</v>
          </cell>
          <cell r="AL18" t="str">
            <v>AVIOR CAL</v>
          </cell>
          <cell r="AM18" t="str">
            <v>AV03 KELLOGG TOLUCA</v>
          </cell>
          <cell r="AN18"/>
          <cell r="AO18"/>
          <cell r="AP18" t="str">
            <v>10081242</v>
          </cell>
          <cell r="AR18" t="str">
            <v>Sindicalizado</v>
          </cell>
        </row>
        <row r="19">
          <cell r="A19" t="str">
            <v>31156</v>
          </cell>
          <cell r="B19" t="str">
            <v>ROMERO LOPEZ JUAN DE DIOS</v>
          </cell>
          <cell r="C19" t="str">
            <v>AUXILIAR DE SERVICIOS GENERALES</v>
          </cell>
          <cell r="D19" t="str">
            <v>SERVICIOS GENERALES</v>
          </cell>
          <cell r="E19" t="str">
            <v>AV01010401 KELLOGS TOL ALMACENAJE</v>
          </cell>
          <cell r="F19" t="str">
            <v>18/01/2024</v>
          </cell>
          <cell r="G19"/>
          <cell r="H19" t="str">
            <v>REINGRESO</v>
          </cell>
          <cell r="I19" t="str">
            <v>RECONTRATACION</v>
          </cell>
          <cell r="J19">
            <v>248.93</v>
          </cell>
          <cell r="K19">
            <v>261.17</v>
          </cell>
          <cell r="L19" t="str">
            <v>SEM03</v>
          </cell>
          <cell r="M19" t="str">
            <v>3 SINDICALIZADO - TOLUCA</v>
          </cell>
          <cell r="N19" t="str">
            <v>01/03/2004</v>
          </cell>
          <cell r="O19" t="str">
            <v>ROLJ040301B56</v>
          </cell>
          <cell r="P19" t="str">
            <v>ROLJ040301HMCMPNA1</v>
          </cell>
          <cell r="Q19" t="str">
            <v>06130434597</v>
          </cell>
          <cell r="R19" t="str">
            <v>MINA MEXICO ENTRADA</v>
          </cell>
          <cell r="S19"/>
          <cell r="T19"/>
          <cell r="U19" t="str">
            <v>MINA MEXICO</v>
          </cell>
          <cell r="V19"/>
          <cell r="W19" t="str">
            <v>MEXICO</v>
          </cell>
          <cell r="X19">
            <v>50903</v>
          </cell>
          <cell r="Y19" t="str">
            <v>7227945211</v>
          </cell>
          <cell r="Z19"/>
          <cell r="AA19" t="str">
            <v>H</v>
          </cell>
          <cell r="AB19" t="str">
            <v>56883440889</v>
          </cell>
          <cell r="AC19" t="str">
            <v>PERMANENTE</v>
          </cell>
          <cell r="AD19" t="str">
            <v>MEXICO</v>
          </cell>
          <cell r="AE19" t="str">
            <v>SOLTERO(A)</v>
          </cell>
          <cell r="AF19" t="str">
            <v>SECUNDARIA</v>
          </cell>
          <cell r="AG19" t="str">
            <v>(OMISION)</v>
          </cell>
          <cell r="AH19"/>
          <cell r="AI19"/>
          <cell r="AJ19" t="str">
            <v>jhonpersromero@gmail.com</v>
          </cell>
          <cell r="AK19" t="str">
            <v>COSTO VARIABLE</v>
          </cell>
          <cell r="AL19" t="str">
            <v>AVIOR CAL</v>
          </cell>
          <cell r="AM19" t="str">
            <v>AV03 KELLOGG TOLUCA</v>
          </cell>
          <cell r="AN19"/>
          <cell r="AO19"/>
          <cell r="AP19" t="str">
            <v>10049483</v>
          </cell>
          <cell r="AR19" t="str">
            <v>Sindicalizado</v>
          </cell>
        </row>
        <row r="20">
          <cell r="A20" t="str">
            <v>31157</v>
          </cell>
          <cell r="B20" t="str">
            <v>GONZALEZ GONZALEZ ROSALIO</v>
          </cell>
          <cell r="C20" t="str">
            <v>MONTACARGUISTA</v>
          </cell>
          <cell r="D20" t="str">
            <v>PLANEACION Y LOGISTICA</v>
          </cell>
          <cell r="E20" t="str">
            <v>AV01030201 MX ALMACENAJE</v>
          </cell>
          <cell r="F20" t="str">
            <v>22/01/2024</v>
          </cell>
          <cell r="G20"/>
          <cell r="H20" t="str">
            <v>ALTA</v>
          </cell>
          <cell r="I20" t="str">
            <v>CONTRATACION</v>
          </cell>
          <cell r="J20">
            <v>261.07</v>
          </cell>
          <cell r="K20">
            <v>273.91000000000003</v>
          </cell>
          <cell r="L20" t="str">
            <v>SEM03</v>
          </cell>
          <cell r="M20" t="str">
            <v>3 SINDICALIZADO - TOLUCA</v>
          </cell>
          <cell r="N20" t="str">
            <v>29/05/1985</v>
          </cell>
          <cell r="O20" t="str">
            <v>GOGR850529FV4</v>
          </cell>
          <cell r="P20" t="str">
            <v>GOGR850529HMCNNS02</v>
          </cell>
          <cell r="Q20" t="str">
            <v>16028527154</v>
          </cell>
          <cell r="R20" t="str">
            <v>CALL SONORA 123</v>
          </cell>
          <cell r="S20"/>
          <cell r="T20"/>
          <cell r="U20" t="str">
            <v>SAN CRISTOBAL HUICHOCHITLA</v>
          </cell>
          <cell r="V20"/>
          <cell r="W20" t="str">
            <v>MEXICO</v>
          </cell>
          <cell r="X20">
            <v>50200</v>
          </cell>
          <cell r="Y20" t="str">
            <v>7294049171</v>
          </cell>
          <cell r="Z20"/>
          <cell r="AA20" t="str">
            <v>H</v>
          </cell>
          <cell r="AB20" t="str">
            <v>56883592614</v>
          </cell>
          <cell r="AC20" t="str">
            <v>PERMANENTE</v>
          </cell>
          <cell r="AD20" t="str">
            <v>MEXICO</v>
          </cell>
          <cell r="AE20" t="str">
            <v>SOLTERO(A)</v>
          </cell>
          <cell r="AF20" t="str">
            <v>BACHILLERATO</v>
          </cell>
          <cell r="AG20" t="str">
            <v>(OMISION)</v>
          </cell>
          <cell r="AH20"/>
          <cell r="AI20"/>
          <cell r="AJ20" t="str">
            <v>charlyyzz@hotmail.es</v>
          </cell>
          <cell r="AK20" t="str">
            <v>COSTO VARIABLE</v>
          </cell>
          <cell r="AL20" t="str">
            <v>AVIOR CAL</v>
          </cell>
          <cell r="AM20" t="str">
            <v>AV03 KELLOGG TOLUCA</v>
          </cell>
          <cell r="AN20"/>
          <cell r="AO20"/>
          <cell r="AP20" t="str">
            <v>10081320</v>
          </cell>
          <cell r="AR20" t="str">
            <v>Sindicalizado</v>
          </cell>
        </row>
        <row r="21">
          <cell r="A21" t="str">
            <v>31158</v>
          </cell>
          <cell r="B21" t="str">
            <v>MARTINEZ MENDOZA JESUS</v>
          </cell>
          <cell r="C21" t="str">
            <v>AUXILIAR DE SERVICIOS GENERALES</v>
          </cell>
          <cell r="D21" t="str">
            <v>SERVICIOS GENERALES</v>
          </cell>
          <cell r="E21" t="str">
            <v>AV01010401 KELLOGS TOL ALMACENAJE</v>
          </cell>
          <cell r="F21" t="str">
            <v>22/01/2024</v>
          </cell>
          <cell r="G21" t="str">
            <v>24/01/2024</v>
          </cell>
          <cell r="H21" t="str">
            <v>BAJA</v>
          </cell>
          <cell r="I21" t="str">
            <v>ABANDONO DE EMPLEO</v>
          </cell>
          <cell r="J21">
            <v>248.93</v>
          </cell>
          <cell r="K21">
            <v>261.17</v>
          </cell>
          <cell r="L21" t="str">
            <v>SEM03</v>
          </cell>
          <cell r="M21" t="str">
            <v>3 SINDICALIZADO - TOLUCA</v>
          </cell>
          <cell r="N21" t="str">
            <v>13/10/1986</v>
          </cell>
          <cell r="O21" t="str">
            <v>MAMJ8610134S4</v>
          </cell>
          <cell r="P21" t="str">
            <v>MAMJ861013HMCRNS07</v>
          </cell>
          <cell r="Q21" t="str">
            <v>90048612668</v>
          </cell>
          <cell r="R21" t="str">
            <v>MZ 15 LT 28 CASA 2448</v>
          </cell>
          <cell r="S21"/>
          <cell r="T21"/>
          <cell r="U21" t="str">
            <v>RANCHO SAN JUAN</v>
          </cell>
          <cell r="V21"/>
          <cell r="W21" t="str">
            <v>MEXICO</v>
          </cell>
          <cell r="X21">
            <v>50903</v>
          </cell>
          <cell r="Y21" t="str">
            <v>5565299525</v>
          </cell>
          <cell r="Z21"/>
          <cell r="AA21" t="str">
            <v>H</v>
          </cell>
          <cell r="AB21" t="str">
            <v>56883694200</v>
          </cell>
          <cell r="AC21" t="str">
            <v>PERMANENTE</v>
          </cell>
          <cell r="AD21" t="str">
            <v>MEXICO</v>
          </cell>
          <cell r="AE21" t="str">
            <v>SOLTERO(A)</v>
          </cell>
          <cell r="AF21" t="str">
            <v>BACHILLERATO</v>
          </cell>
          <cell r="AG21" t="str">
            <v>(OMISION)</v>
          </cell>
          <cell r="AH21"/>
          <cell r="AI21"/>
          <cell r="AJ21" t="str">
            <v>alfonsomartinezmendoza038@gmail.com</v>
          </cell>
          <cell r="AK21" t="str">
            <v>COSTO VARIABLE</v>
          </cell>
          <cell r="AL21" t="str">
            <v>AVIOR CAL</v>
          </cell>
          <cell r="AM21" t="str">
            <v>AV03 KELLOGG TOLUCA</v>
          </cell>
          <cell r="AN21"/>
          <cell r="AO21"/>
          <cell r="AP21" t="str">
            <v>10081339</v>
          </cell>
          <cell r="AR21" t="str">
            <v>Sindicalizado</v>
          </cell>
        </row>
        <row r="22">
          <cell r="A22" t="str">
            <v>31159</v>
          </cell>
          <cell r="B22" t="str">
            <v>TOVAR RIVERA LUIS ALBERTO</v>
          </cell>
          <cell r="C22" t="str">
            <v>AUXILIAR DE SERVICIOS GENERALES</v>
          </cell>
          <cell r="D22" t="str">
            <v>SERVICIOS GENERALES</v>
          </cell>
          <cell r="E22" t="str">
            <v>AV01010401 KELLOGS TOL ALMACENAJE</v>
          </cell>
          <cell r="F22" t="str">
            <v>22/01/2024</v>
          </cell>
          <cell r="G22" t="str">
            <v>24/01/2024</v>
          </cell>
          <cell r="H22" t="str">
            <v>BAJA</v>
          </cell>
          <cell r="I22" t="str">
            <v>ABANDONO DE EMPLEO</v>
          </cell>
          <cell r="J22">
            <v>248.93</v>
          </cell>
          <cell r="K22">
            <v>261.17</v>
          </cell>
          <cell r="L22" t="str">
            <v>SEM03</v>
          </cell>
          <cell r="M22" t="str">
            <v>3 SINDICALIZADO - TOLUCA</v>
          </cell>
          <cell r="N22" t="str">
            <v>11/11/1990</v>
          </cell>
          <cell r="O22" t="str">
            <v>TORL901111LG2</v>
          </cell>
          <cell r="P22" t="str">
            <v>TORL901111HDFVVS02</v>
          </cell>
          <cell r="Q22" t="str">
            <v>16079013286</v>
          </cell>
          <cell r="R22" t="str">
            <v>LOC MINA MEXICO SN</v>
          </cell>
          <cell r="S22"/>
          <cell r="T22"/>
          <cell r="U22" t="str">
            <v>MINA MEXICO</v>
          </cell>
          <cell r="V22"/>
          <cell r="W22" t="str">
            <v>MEXICO</v>
          </cell>
          <cell r="X22">
            <v>50903</v>
          </cell>
          <cell r="Y22" t="str">
            <v>7222020664</v>
          </cell>
          <cell r="Z22"/>
          <cell r="AA22" t="str">
            <v>H</v>
          </cell>
          <cell r="AB22" t="str">
            <v>56868738620</v>
          </cell>
          <cell r="AC22" t="str">
            <v>PERMANENTE</v>
          </cell>
          <cell r="AD22" t="str">
            <v>MEXICO</v>
          </cell>
          <cell r="AE22" t="str">
            <v>SOLTERO(A)</v>
          </cell>
          <cell r="AF22" t="str">
            <v>SECUNDARIA</v>
          </cell>
          <cell r="AG22" t="str">
            <v>(OMISION)</v>
          </cell>
          <cell r="AH22"/>
          <cell r="AI22"/>
          <cell r="AJ22" t="str">
            <v>toviriver72@gmail.com</v>
          </cell>
          <cell r="AK22" t="str">
            <v>COSTO VARIABLE</v>
          </cell>
          <cell r="AL22" t="str">
            <v>AVIOR CAL</v>
          </cell>
          <cell r="AM22" t="str">
            <v>AV03 KELLOGG TOLUCA</v>
          </cell>
          <cell r="AN22"/>
          <cell r="AO22"/>
          <cell r="AP22" t="str">
            <v>10081324</v>
          </cell>
          <cell r="AR22" t="str">
            <v>Sindicalizado</v>
          </cell>
        </row>
        <row r="23">
          <cell r="A23" t="str">
            <v>31160</v>
          </cell>
          <cell r="B23" t="str">
            <v>ESQUIVEL ORTEGA EZEQUIEL RICARDO</v>
          </cell>
          <cell r="C23" t="str">
            <v>AUXILIAR DE SERVICIOS GENERALES</v>
          </cell>
          <cell r="D23" t="str">
            <v>SERVICIOS GENERALES</v>
          </cell>
          <cell r="E23" t="str">
            <v>AV01010401 KELLOGS TOL ALMACENAJE</v>
          </cell>
          <cell r="F23" t="str">
            <v>29/01/2024</v>
          </cell>
          <cell r="G23"/>
          <cell r="H23" t="str">
            <v>ALTA</v>
          </cell>
          <cell r="I23" t="str">
            <v>CONTRATACION</v>
          </cell>
          <cell r="J23">
            <v>248.93</v>
          </cell>
          <cell r="K23">
            <v>261.17</v>
          </cell>
          <cell r="L23" t="str">
            <v>SEM03</v>
          </cell>
          <cell r="M23" t="str">
            <v>3 SINDICALIZADO - TOLUCA</v>
          </cell>
          <cell r="N23" t="str">
            <v>08/08/1979</v>
          </cell>
          <cell r="O23" t="str">
            <v>EUOE790808I80</v>
          </cell>
          <cell r="P23" t="str">
            <v>EUOE790808HDFSRZ04</v>
          </cell>
          <cell r="Q23" t="str">
            <v>11007902254</v>
          </cell>
          <cell r="R23" t="str">
            <v>MAZ 13 LOTE 21 V 1939</v>
          </cell>
          <cell r="S23"/>
          <cell r="T23"/>
          <cell r="U23" t="str">
            <v>RANCHO SAN JUAN</v>
          </cell>
          <cell r="V23"/>
          <cell r="W23" t="str">
            <v>MEXICO</v>
          </cell>
          <cell r="X23">
            <v>50903</v>
          </cell>
          <cell r="Y23" t="str">
            <v>5510967104</v>
          </cell>
          <cell r="Z23"/>
          <cell r="AA23" t="str">
            <v>H</v>
          </cell>
          <cell r="AB23" t="str">
            <v>56884229125</v>
          </cell>
          <cell r="AC23" t="str">
            <v>PERMANENTE</v>
          </cell>
          <cell r="AD23" t="str">
            <v>MEXICO</v>
          </cell>
          <cell r="AE23" t="str">
            <v>SOLTERO(A)</v>
          </cell>
          <cell r="AF23" t="str">
            <v>BACHILLERATO</v>
          </cell>
          <cell r="AG23" t="str">
            <v>(OMISION)</v>
          </cell>
          <cell r="AH23"/>
          <cell r="AI23"/>
          <cell r="AJ23" t="str">
            <v>lobo0879@outlook.com</v>
          </cell>
          <cell r="AK23" t="str">
            <v>COSTO VARIABLE</v>
          </cell>
          <cell r="AL23" t="str">
            <v>AVIOR CAL</v>
          </cell>
          <cell r="AM23" t="str">
            <v>AV03 KELLOGG TOLUCA</v>
          </cell>
          <cell r="AN23"/>
          <cell r="AO23"/>
          <cell r="AP23" t="str">
            <v>10081558</v>
          </cell>
          <cell r="AR23" t="str">
            <v>Sindicalizado</v>
          </cell>
        </row>
        <row r="24">
          <cell r="A24" t="str">
            <v>31161</v>
          </cell>
          <cell r="B24" t="str">
            <v>GARCIA GARCIA JOSUE MANUEL</v>
          </cell>
          <cell r="C24" t="str">
            <v>AUXILIAR DE SERVICIOS GENERALES</v>
          </cell>
          <cell r="D24" t="str">
            <v>SERVICIOS GENERALES</v>
          </cell>
          <cell r="E24" t="str">
            <v>AV01010401 KELLOGS TOL ALMACENAJE</v>
          </cell>
          <cell r="F24" t="str">
            <v>29/01/2024</v>
          </cell>
          <cell r="G24"/>
          <cell r="H24" t="str">
            <v>ALTA</v>
          </cell>
          <cell r="I24" t="str">
            <v>CONTRATACION</v>
          </cell>
          <cell r="J24">
            <v>248.93</v>
          </cell>
          <cell r="K24">
            <v>261.17</v>
          </cell>
          <cell r="L24" t="str">
            <v>SEM03</v>
          </cell>
          <cell r="M24" t="str">
            <v>3 SINDICALIZADO - TOLUCA</v>
          </cell>
          <cell r="N24" t="str">
            <v>30/11/2000</v>
          </cell>
          <cell r="O24" t="str">
            <v>GAGJ001130FW3</v>
          </cell>
          <cell r="P24" t="str">
            <v>GAGJ001130HDFRRSA2</v>
          </cell>
          <cell r="Q24" t="str">
            <v>02200074462</v>
          </cell>
          <cell r="R24" t="str">
            <v>MZ 36 LOTE 09 CASA 6180</v>
          </cell>
          <cell r="S24"/>
          <cell r="T24"/>
          <cell r="U24" t="str">
            <v>RANCHO SAN JUAN</v>
          </cell>
          <cell r="V24"/>
          <cell r="W24" t="str">
            <v>MEXICO</v>
          </cell>
          <cell r="X24">
            <v>50903</v>
          </cell>
          <cell r="Y24" t="str">
            <v>7295072019</v>
          </cell>
          <cell r="Z24"/>
          <cell r="AA24" t="str">
            <v>H</v>
          </cell>
          <cell r="AB24" t="str">
            <v>56884338168</v>
          </cell>
          <cell r="AC24" t="str">
            <v>PERMANENTE</v>
          </cell>
          <cell r="AD24" t="str">
            <v>MEXICO</v>
          </cell>
          <cell r="AE24" t="str">
            <v>UNION LIBRE</v>
          </cell>
          <cell r="AF24" t="str">
            <v>SECUNDARIA</v>
          </cell>
          <cell r="AG24" t="str">
            <v>(OMISION)</v>
          </cell>
          <cell r="AH24"/>
          <cell r="AI24"/>
          <cell r="AJ24" t="str">
            <v>josue6.garciaa@gmail.com</v>
          </cell>
          <cell r="AK24" t="str">
            <v>COSTO VARIABLE</v>
          </cell>
          <cell r="AL24" t="str">
            <v>AVIOR CAL</v>
          </cell>
          <cell r="AM24" t="str">
            <v>AV03 KELLOGG TOLUCA</v>
          </cell>
          <cell r="AN24"/>
          <cell r="AO24"/>
          <cell r="AP24" t="str">
            <v>10081561</v>
          </cell>
          <cell r="AR24" t="str">
            <v>Sindicalizado</v>
          </cell>
        </row>
        <row r="25">
          <cell r="A25" t="str">
            <v>31162</v>
          </cell>
          <cell r="B25" t="str">
            <v>COLIN GOMORA JESUS</v>
          </cell>
          <cell r="C25" t="str">
            <v>AUXILIAR DE SERVICIOS GENERALES</v>
          </cell>
          <cell r="D25" t="str">
            <v>SERVICIOS GENERALES</v>
          </cell>
          <cell r="E25" t="str">
            <v>AV01010401 KELLOGS TOL ALMACENAJE</v>
          </cell>
          <cell r="F25" t="str">
            <v>06/02/2024</v>
          </cell>
          <cell r="G25"/>
          <cell r="H25" t="str">
            <v>ALTA</v>
          </cell>
          <cell r="I25" t="str">
            <v>CONTRATACION</v>
          </cell>
          <cell r="J25">
            <v>248.93</v>
          </cell>
          <cell r="K25">
            <v>261.17</v>
          </cell>
          <cell r="L25" t="str">
            <v>SEM03</v>
          </cell>
          <cell r="M25" t="str">
            <v>3 SINDICALIZADO - TOLUCA</v>
          </cell>
          <cell r="N25" t="str">
            <v>14/10/2002</v>
          </cell>
          <cell r="O25" t="str">
            <v>COGJ0210142VA</v>
          </cell>
          <cell r="P25" t="str">
            <v>COGJ021014HMCLMSA2</v>
          </cell>
          <cell r="Q25" t="str">
            <v>38200265619</v>
          </cell>
          <cell r="R25" t="str">
            <v>SERV DIR 12 96 SEGUNDO</v>
          </cell>
          <cell r="S25"/>
          <cell r="T25"/>
          <cell r="U25" t="str">
            <v>SN BARTOLO DEL LLAN</v>
          </cell>
          <cell r="V25"/>
          <cell r="W25" t="str">
            <v>MEXICO</v>
          </cell>
          <cell r="X25">
            <v>50774</v>
          </cell>
          <cell r="Y25" t="str">
            <v>7121415643</v>
          </cell>
          <cell r="Z25"/>
          <cell r="AA25" t="str">
            <v>H</v>
          </cell>
          <cell r="AB25" t="str">
            <v>56884507171</v>
          </cell>
          <cell r="AC25" t="str">
            <v>PERMANENTE</v>
          </cell>
          <cell r="AD25" t="str">
            <v>MEXICO</v>
          </cell>
          <cell r="AE25" t="str">
            <v>UNION LIBRE</v>
          </cell>
          <cell r="AF25" t="str">
            <v>BACHILLERATO</v>
          </cell>
          <cell r="AG25" t="str">
            <v>(OMISION)</v>
          </cell>
          <cell r="AH25"/>
          <cell r="AI25"/>
          <cell r="AJ25" t="str">
            <v>jgonord1410@gmail.com</v>
          </cell>
          <cell r="AK25" t="str">
            <v>COSTO VARIABLE</v>
          </cell>
          <cell r="AL25" t="str">
            <v>AVIOR CAL</v>
          </cell>
          <cell r="AM25" t="str">
            <v>AV03 KELLOGG TOLUCA</v>
          </cell>
          <cell r="AN25"/>
          <cell r="AO25"/>
          <cell r="AP25" t="str">
            <v>10081775</v>
          </cell>
          <cell r="AR25" t="str">
            <v>Sindicalizado</v>
          </cell>
        </row>
        <row r="26">
          <cell r="A26" t="str">
            <v>31163</v>
          </cell>
          <cell r="B26" t="str">
            <v>MONTOYA MUNGUIA JONATHAN ALEXIS</v>
          </cell>
          <cell r="C26" t="str">
            <v>AYUDANTE GENERAL</v>
          </cell>
          <cell r="D26" t="str">
            <v>PLANEACION Y LOGISTICA</v>
          </cell>
          <cell r="E26" t="str">
            <v>AV01010401 KELLOGS TOL ALMACENAJE</v>
          </cell>
          <cell r="F26" t="str">
            <v>06/02/2024</v>
          </cell>
          <cell r="G26"/>
          <cell r="H26" t="str">
            <v>ALTA</v>
          </cell>
          <cell r="I26" t="str">
            <v>CONTRATACION</v>
          </cell>
          <cell r="J26">
            <v>248.93</v>
          </cell>
          <cell r="K26">
            <v>261.17</v>
          </cell>
          <cell r="L26" t="str">
            <v>SEM03</v>
          </cell>
          <cell r="M26" t="str">
            <v>3 SINDICALIZADO - TOLUCA</v>
          </cell>
          <cell r="N26" t="str">
            <v>07/06/2003</v>
          </cell>
          <cell r="O26" t="str">
            <v>MOMJ030607BA7</v>
          </cell>
          <cell r="P26" t="str">
            <v>MOMJ030607HMCNNNA6</v>
          </cell>
          <cell r="Q26" t="str">
            <v>38180372096</v>
          </cell>
          <cell r="R26" t="str">
            <v>ENCINO 101</v>
          </cell>
          <cell r="S26"/>
          <cell r="T26"/>
          <cell r="U26" t="str">
            <v>CEDRO Y CIPRES PALMILLAS</v>
          </cell>
          <cell r="V26"/>
          <cell r="W26" t="str">
            <v>MEXICO</v>
          </cell>
          <cell r="X26">
            <v>50285</v>
          </cell>
          <cell r="Y26" t="str">
            <v>7228797915</v>
          </cell>
          <cell r="Z26"/>
          <cell r="AA26" t="str">
            <v>H</v>
          </cell>
          <cell r="AB26" t="str">
            <v>56884881933</v>
          </cell>
          <cell r="AC26" t="str">
            <v>PERMANENTE</v>
          </cell>
          <cell r="AD26" t="str">
            <v>MEXICO</v>
          </cell>
          <cell r="AE26" t="str">
            <v>SOLTERO(A)</v>
          </cell>
          <cell r="AF26" t="str">
            <v>BACHILLERATO</v>
          </cell>
          <cell r="AG26" t="str">
            <v>(OMISION)</v>
          </cell>
          <cell r="AH26"/>
          <cell r="AI26"/>
          <cell r="AJ26" t="str">
            <v>jonatan070603@gmail.com</v>
          </cell>
          <cell r="AK26" t="str">
            <v>COSTO VARIABLE</v>
          </cell>
          <cell r="AL26" t="str">
            <v>AVIOR CAL</v>
          </cell>
          <cell r="AM26" t="str">
            <v>AV03 KELLOGG TOLUCA</v>
          </cell>
          <cell r="AN26"/>
          <cell r="AO26"/>
          <cell r="AP26" t="str">
            <v>10081778</v>
          </cell>
          <cell r="AR26" t="str">
            <v>Sindicalizado</v>
          </cell>
        </row>
        <row r="27">
          <cell r="A27" t="str">
            <v>51334</v>
          </cell>
          <cell r="B27" t="str">
            <v>LOPEZ SANCHEZ OSCAR URIEL</v>
          </cell>
          <cell r="C27" t="str">
            <v>AYUDANTE GENERAL</v>
          </cell>
          <cell r="D27" t="str">
            <v>PLANEACION Y LOGISTICA</v>
          </cell>
          <cell r="E27" t="str">
            <v>AV01020201 COLGATE MEX ALMACENAJE</v>
          </cell>
          <cell r="F27" t="str">
            <v>03/01/2024</v>
          </cell>
          <cell r="G27"/>
          <cell r="H27" t="str">
            <v>ALTA</v>
          </cell>
          <cell r="I27" t="str">
            <v>CONTRATACION</v>
          </cell>
          <cell r="J27">
            <v>248.93</v>
          </cell>
          <cell r="K27">
            <v>265.70999999999998</v>
          </cell>
          <cell r="L27" t="str">
            <v>SEM05</v>
          </cell>
          <cell r="M27" t="str">
            <v>5 SINDICALIZADO - TULTITLAN</v>
          </cell>
          <cell r="N27" t="str">
            <v>20/05/1995</v>
          </cell>
          <cell r="O27" t="str">
            <v>LOSO950520AY5</v>
          </cell>
          <cell r="P27" t="str">
            <v>LOSO950520HDFPNS06</v>
          </cell>
          <cell r="Q27" t="str">
            <v>54149567528</v>
          </cell>
          <cell r="R27" t="str">
            <v>4A CDA DE NATIVITAS</v>
          </cell>
          <cell r="S27" t="str">
            <v>0</v>
          </cell>
          <cell r="T27"/>
          <cell r="U27" t="str">
            <v>BARR CHIMALPA</v>
          </cell>
          <cell r="V27"/>
          <cell r="W27" t="str">
            <v>MEXICO</v>
          </cell>
          <cell r="X27">
            <v>55885</v>
          </cell>
          <cell r="Y27" t="str">
            <v>5542784453</v>
          </cell>
          <cell r="Z27"/>
          <cell r="AA27" t="str">
            <v>H</v>
          </cell>
          <cell r="AB27" t="str">
            <v>56882213988</v>
          </cell>
          <cell r="AC27" t="str">
            <v>PERMANENTE</v>
          </cell>
          <cell r="AD27" t="str">
            <v>DISTRITO FEDERAL</v>
          </cell>
          <cell r="AE27" t="str">
            <v>SOLTERO(A)</v>
          </cell>
          <cell r="AF27" t="str">
            <v>BACHILLERATO</v>
          </cell>
          <cell r="AG27" t="str">
            <v>(OMISION)</v>
          </cell>
          <cell r="AH27"/>
          <cell r="AI27"/>
          <cell r="AJ27" t="str">
            <v>herlisan16@gmail.com</v>
          </cell>
          <cell r="AK27" t="str">
            <v>COSTO VARIABLE</v>
          </cell>
          <cell r="AL27" t="str">
            <v>AVIOR CAL</v>
          </cell>
          <cell r="AM27" t="str">
            <v>AV05 COLGATE EDOMX</v>
          </cell>
          <cell r="AN27"/>
          <cell r="AO27"/>
          <cell r="AP27" t="str">
            <v>10080455</v>
          </cell>
          <cell r="AR27" t="str">
            <v>Sindicalizado</v>
          </cell>
        </row>
        <row r="28">
          <cell r="A28" t="str">
            <v>51335</v>
          </cell>
          <cell r="B28" t="str">
            <v>MORALES JIMENEZ RAMIRO CONSTANTINO</v>
          </cell>
          <cell r="C28" t="str">
            <v>MONTACARGUISTA</v>
          </cell>
          <cell r="D28" t="str">
            <v>PLANEACION Y LOGISTICA</v>
          </cell>
          <cell r="E28" t="str">
            <v>AV01020201 COLGATE MEX ALMACENAJE</v>
          </cell>
          <cell r="F28" t="str">
            <v>04/01/2024</v>
          </cell>
          <cell r="G28"/>
          <cell r="H28" t="str">
            <v>ALTA</v>
          </cell>
          <cell r="I28" t="str">
            <v>CONTRATACION</v>
          </cell>
          <cell r="J28">
            <v>292</v>
          </cell>
          <cell r="K28">
            <v>311.63</v>
          </cell>
          <cell r="L28" t="str">
            <v>SEM05</v>
          </cell>
          <cell r="M28" t="str">
            <v>5 SINDICALIZADO - TULTITLAN</v>
          </cell>
          <cell r="N28" t="str">
            <v>11/03/1972</v>
          </cell>
          <cell r="O28" t="str">
            <v>MOJR720311AG0</v>
          </cell>
          <cell r="P28" t="str">
            <v>MOJR720311HDFRMM08</v>
          </cell>
          <cell r="Q28" t="str">
            <v>92907213935</v>
          </cell>
          <cell r="R28" t="str">
            <v>2DA CDA ARANDA</v>
          </cell>
          <cell r="S28"/>
          <cell r="T28"/>
          <cell r="U28" t="str">
            <v>CENTRO</v>
          </cell>
          <cell r="V28"/>
          <cell r="W28" t="str">
            <v>MEXICO</v>
          </cell>
          <cell r="X28">
            <v>54960</v>
          </cell>
          <cell r="Y28" t="str">
            <v>5543490742</v>
          </cell>
          <cell r="Z28"/>
          <cell r="AA28" t="str">
            <v>H</v>
          </cell>
          <cell r="AB28" t="str">
            <v>56810885144</v>
          </cell>
          <cell r="AC28" t="str">
            <v>PERMANENTE</v>
          </cell>
          <cell r="AD28" t="str">
            <v>DISTRITO FEDERAL</v>
          </cell>
          <cell r="AE28" t="str">
            <v>CASADO(A)</v>
          </cell>
          <cell r="AF28" t="str">
            <v>BACHILLERATO</v>
          </cell>
          <cell r="AG28" t="str">
            <v>(OMISION)</v>
          </cell>
          <cell r="AH28"/>
          <cell r="AI28"/>
          <cell r="AJ28" t="str">
            <v>ramirom2853@gmail.com</v>
          </cell>
          <cell r="AK28" t="str">
            <v>COSTO VARIABLE</v>
          </cell>
          <cell r="AL28" t="str">
            <v>AVIOR CAL</v>
          </cell>
          <cell r="AM28" t="str">
            <v>AV05 COLGATE EDOMX</v>
          </cell>
          <cell r="AN28"/>
          <cell r="AO28"/>
          <cell r="AP28" t="str">
            <v>10080558</v>
          </cell>
          <cell r="AR28" t="str">
            <v>Sindicalizado</v>
          </cell>
        </row>
        <row r="29">
          <cell r="A29" t="str">
            <v>51336</v>
          </cell>
          <cell r="B29" t="str">
            <v>PINEDA SANTOS AXEL MARIO</v>
          </cell>
          <cell r="C29" t="str">
            <v>AYUDANTE GENERAL</v>
          </cell>
          <cell r="D29" t="str">
            <v>PLANEACION Y LOGISTICA</v>
          </cell>
          <cell r="E29" t="str">
            <v>AV01020201 COLGATE MEX ALMACENAJE</v>
          </cell>
          <cell r="F29" t="str">
            <v>04/01/2024</v>
          </cell>
          <cell r="G29"/>
          <cell r="H29" t="str">
            <v>ALTA</v>
          </cell>
          <cell r="I29" t="str">
            <v>CONTRATACION</v>
          </cell>
          <cell r="J29">
            <v>270</v>
          </cell>
          <cell r="K29">
            <v>288.14999999999998</v>
          </cell>
          <cell r="L29" t="str">
            <v>SEM05</v>
          </cell>
          <cell r="M29" t="str">
            <v>5 SINDICALIZADO - TULTITLAN</v>
          </cell>
          <cell r="N29" t="str">
            <v>09/02/2001</v>
          </cell>
          <cell r="O29" t="str">
            <v>PISA010209L32</v>
          </cell>
          <cell r="P29" t="str">
            <v>PISA010209HMCNNXA5</v>
          </cell>
          <cell r="Q29" t="str">
            <v>11170150764</v>
          </cell>
          <cell r="R29" t="str">
            <v>AV LAUREL MZ 15</v>
          </cell>
          <cell r="S29" t="str">
            <v>LT 1</v>
          </cell>
          <cell r="T29"/>
          <cell r="U29" t="str">
            <v>EL LAUREL</v>
          </cell>
          <cell r="V29"/>
          <cell r="W29" t="str">
            <v>MEXICO</v>
          </cell>
          <cell r="X29">
            <v>55717</v>
          </cell>
          <cell r="Y29" t="str">
            <v>5511947219</v>
          </cell>
          <cell r="Z29"/>
          <cell r="AA29" t="str">
            <v>H</v>
          </cell>
          <cell r="AB29" t="str">
            <v>56871438565</v>
          </cell>
          <cell r="AC29" t="str">
            <v>PERMANENTE</v>
          </cell>
          <cell r="AD29" t="str">
            <v>MEXICO</v>
          </cell>
          <cell r="AE29" t="str">
            <v>SOLTERO(A)</v>
          </cell>
          <cell r="AF29" t="str">
            <v>SECUNDARIA</v>
          </cell>
          <cell r="AG29" t="str">
            <v>(OMISION)</v>
          </cell>
          <cell r="AH29"/>
          <cell r="AI29"/>
          <cell r="AJ29" t="str">
            <v>mariotleman@gmail.com</v>
          </cell>
          <cell r="AK29" t="str">
            <v>COSTO VARIABLE</v>
          </cell>
          <cell r="AL29" t="str">
            <v>AVIOR CAL</v>
          </cell>
          <cell r="AM29" t="str">
            <v>AV05 COLGATE EDOMX</v>
          </cell>
          <cell r="AN29"/>
          <cell r="AO29"/>
          <cell r="AP29" t="str">
            <v>10080571</v>
          </cell>
          <cell r="AR29" t="str">
            <v>Sindicalizado</v>
          </cell>
        </row>
        <row r="30">
          <cell r="A30" t="str">
            <v>51337</v>
          </cell>
          <cell r="B30" t="str">
            <v>GARCIA DE LA LUZ NOE ADAN</v>
          </cell>
          <cell r="C30" t="str">
            <v>MONTACARGUISTA</v>
          </cell>
          <cell r="D30" t="str">
            <v>PLANEACION Y LOGISTICA</v>
          </cell>
          <cell r="E30" t="str">
            <v>AV01020201 COLGATE MEX ALMACENAJE</v>
          </cell>
          <cell r="F30" t="str">
            <v>05/01/2024</v>
          </cell>
          <cell r="G30"/>
          <cell r="H30" t="str">
            <v>ALTA</v>
          </cell>
          <cell r="I30" t="str">
            <v>CONTRATACION</v>
          </cell>
          <cell r="J30">
            <v>292</v>
          </cell>
          <cell r="K30">
            <v>311.63</v>
          </cell>
          <cell r="L30" t="str">
            <v>SEM05</v>
          </cell>
          <cell r="M30" t="str">
            <v>5 SINDICALIZADO - TULTITLAN</v>
          </cell>
          <cell r="N30" t="str">
            <v>23/08/1997</v>
          </cell>
          <cell r="O30" t="str">
            <v>GALN970823PL6</v>
          </cell>
          <cell r="P30" t="str">
            <v>GALN970823HMCRZX01</v>
          </cell>
          <cell r="Q30" t="str">
            <v>63159709219</v>
          </cell>
          <cell r="R30" t="str">
            <v>CAMELIA 63</v>
          </cell>
          <cell r="S30"/>
          <cell r="T30"/>
          <cell r="U30" t="str">
            <v>SANTA MARIA GPE LA QUEBRADA</v>
          </cell>
          <cell r="V30"/>
          <cell r="W30" t="str">
            <v>MEXICO</v>
          </cell>
          <cell r="X30">
            <v>54764</v>
          </cell>
          <cell r="Y30" t="str">
            <v>5641442340</v>
          </cell>
          <cell r="Z30"/>
          <cell r="AA30" t="str">
            <v>H</v>
          </cell>
          <cell r="AB30" t="str">
            <v>56882335486</v>
          </cell>
          <cell r="AC30" t="str">
            <v>PERMANENTE</v>
          </cell>
          <cell r="AD30" t="str">
            <v>MEXICO</v>
          </cell>
          <cell r="AE30" t="str">
            <v>UNION LIBRE</v>
          </cell>
          <cell r="AF30" t="str">
            <v>BACHILLERATO</v>
          </cell>
          <cell r="AG30" t="str">
            <v>(OMISION)</v>
          </cell>
          <cell r="AH30"/>
          <cell r="AI30"/>
          <cell r="AJ30" t="str">
            <v>ag9155908@gmail.com</v>
          </cell>
          <cell r="AK30" t="str">
            <v>COSTO VARIABLE</v>
          </cell>
          <cell r="AL30" t="str">
            <v>AVIOR CAL</v>
          </cell>
          <cell r="AM30" t="str">
            <v>AV05 COLGATE EDOMX</v>
          </cell>
          <cell r="AN30"/>
          <cell r="AO30"/>
          <cell r="AP30" t="str">
            <v>10080584</v>
          </cell>
          <cell r="AR30" t="str">
            <v>Sindicalizado</v>
          </cell>
        </row>
        <row r="31">
          <cell r="A31" t="str">
            <v>51338</v>
          </cell>
          <cell r="B31" t="str">
            <v>VALENCIA LOPEZ MARIO ALBERTO</v>
          </cell>
          <cell r="C31" t="str">
            <v>AUXILIAR DE INTENDENCIA</v>
          </cell>
          <cell r="D31" t="str">
            <v>SERVICIOS GENERALES</v>
          </cell>
          <cell r="E31" t="str">
            <v>AV01020201 COLGATE MEX ALMACENAJE</v>
          </cell>
          <cell r="F31" t="str">
            <v>05/01/2024</v>
          </cell>
          <cell r="G31"/>
          <cell r="H31" t="str">
            <v>ALTA</v>
          </cell>
          <cell r="I31" t="str">
            <v>CONTRATACION</v>
          </cell>
          <cell r="J31">
            <v>248.93</v>
          </cell>
          <cell r="K31">
            <v>261.85000000000002</v>
          </cell>
          <cell r="L31" t="str">
            <v>SEM05</v>
          </cell>
          <cell r="M31" t="str">
            <v>5 CONFIANZA - TULTITLAN</v>
          </cell>
          <cell r="N31" t="str">
            <v>31/03/1970</v>
          </cell>
          <cell r="O31" t="str">
            <v>VALM700331IB3</v>
          </cell>
          <cell r="P31" t="str">
            <v>VALM700331HDFLPR08</v>
          </cell>
          <cell r="Q31" t="str">
            <v>45887020159</v>
          </cell>
          <cell r="R31" t="str">
            <v>BOSQUES NORUEGOS B2</v>
          </cell>
          <cell r="S31" t="str">
            <v>MZA 1 402</v>
          </cell>
          <cell r="T31"/>
          <cell r="U31" t="str">
            <v>BOSQUES DEL ALBA</v>
          </cell>
          <cell r="V31"/>
          <cell r="W31" t="str">
            <v>MEXICO</v>
          </cell>
          <cell r="X31">
            <v>54753</v>
          </cell>
          <cell r="Y31" t="str">
            <v>5528626203</v>
          </cell>
          <cell r="Z31"/>
          <cell r="AA31" t="str">
            <v>H</v>
          </cell>
          <cell r="AB31" t="str">
            <v>56882335134</v>
          </cell>
          <cell r="AC31" t="str">
            <v>PERMANENTE</v>
          </cell>
          <cell r="AD31" t="str">
            <v>DISTRITO FEDERAL</v>
          </cell>
          <cell r="AE31" t="str">
            <v>CASADO(A)</v>
          </cell>
          <cell r="AF31" t="str">
            <v>BACHILLERATO</v>
          </cell>
          <cell r="AG31" t="str">
            <v>(OMISION)</v>
          </cell>
          <cell r="AH31"/>
          <cell r="AI31"/>
          <cell r="AJ31" t="str">
            <v>marioalbert664@gmail.com</v>
          </cell>
          <cell r="AK31" t="str">
            <v>COSTO VARIABLE</v>
          </cell>
          <cell r="AL31" t="str">
            <v>AVIOR CAL</v>
          </cell>
          <cell r="AM31" t="str">
            <v>AV05 COLGATE EDOMX</v>
          </cell>
          <cell r="AN31"/>
          <cell r="AO31"/>
          <cell r="AP31" t="str">
            <v>10080623</v>
          </cell>
          <cell r="AR31" t="str">
            <v>Aministrativo</v>
          </cell>
        </row>
        <row r="32">
          <cell r="A32" t="str">
            <v>51339</v>
          </cell>
          <cell r="B32" t="str">
            <v>ALBERTO SANTES JESUS LEONARDO</v>
          </cell>
          <cell r="C32" t="str">
            <v>MONTACARGUISTA</v>
          </cell>
          <cell r="D32" t="str">
            <v>PLANEACION Y LOGISTICA</v>
          </cell>
          <cell r="E32" t="str">
            <v>AV01020201 COLGATE MEX ALMACENAJE</v>
          </cell>
          <cell r="F32" t="str">
            <v>08/01/2024</v>
          </cell>
          <cell r="G32"/>
          <cell r="H32" t="str">
            <v>REINGRESO</v>
          </cell>
          <cell r="I32" t="str">
            <v>RECONTRATACION</v>
          </cell>
          <cell r="J32">
            <v>292</v>
          </cell>
          <cell r="K32">
            <v>311.63</v>
          </cell>
          <cell r="L32" t="str">
            <v>SEM05</v>
          </cell>
          <cell r="M32" t="str">
            <v>5 SINDICALIZADO - TULTITLAN</v>
          </cell>
          <cell r="N32" t="str">
            <v>15/10/1972</v>
          </cell>
          <cell r="O32" t="str">
            <v>AESJ7210157B7</v>
          </cell>
          <cell r="P32" t="str">
            <v>AESJ721015HVZLNS02</v>
          </cell>
          <cell r="Q32" t="str">
            <v>90897244969</v>
          </cell>
          <cell r="R32" t="str">
            <v>Mirador 2 Mz 62 Lt 1</v>
          </cell>
          <cell r="S32"/>
          <cell r="T32"/>
          <cell r="U32" t="str">
            <v>Las penitas</v>
          </cell>
          <cell r="V32"/>
          <cell r="W32" t="str">
            <v>MEXICO</v>
          </cell>
          <cell r="X32">
            <v>52920</v>
          </cell>
          <cell r="Y32" t="str">
            <v>5579967455</v>
          </cell>
          <cell r="Z32"/>
          <cell r="AA32" t="str">
            <v>H</v>
          </cell>
          <cell r="AB32" t="str">
            <v>56847164831</v>
          </cell>
          <cell r="AC32" t="str">
            <v>PERMANENTE</v>
          </cell>
          <cell r="AD32" t="str">
            <v>VERACRUZ</v>
          </cell>
          <cell r="AE32" t="str">
            <v>CASADO(A)</v>
          </cell>
          <cell r="AF32" t="str">
            <v>BACHILLERATO</v>
          </cell>
          <cell r="AG32" t="str">
            <v>(OMISION)</v>
          </cell>
          <cell r="AH32"/>
          <cell r="AI32"/>
          <cell r="AJ32" t="str">
            <v>albert2406import@gmail.com</v>
          </cell>
          <cell r="AK32" t="str">
            <v>COSTO VARIABLE</v>
          </cell>
          <cell r="AL32" t="str">
            <v>AVIOR CAL</v>
          </cell>
          <cell r="AM32" t="str">
            <v>AV05 COLGATE EDOMX</v>
          </cell>
          <cell r="AN32"/>
          <cell r="AO32"/>
          <cell r="AP32" t="str">
            <v>10072026</v>
          </cell>
          <cell r="AR32" t="str">
            <v>Sindicalizado</v>
          </cell>
        </row>
        <row r="33">
          <cell r="A33" t="str">
            <v>51340</v>
          </cell>
          <cell r="B33" t="str">
            <v>ALMAGUER FLORES ANTONIO</v>
          </cell>
          <cell r="C33" t="str">
            <v>AYUDANTE GENERAL</v>
          </cell>
          <cell r="D33" t="str">
            <v>PLANEACION Y LOGISTICA</v>
          </cell>
          <cell r="E33" t="str">
            <v>AV01020201 COLGATE MEX ALMACENAJE</v>
          </cell>
          <cell r="F33" t="str">
            <v>08/01/2024</v>
          </cell>
          <cell r="G33"/>
          <cell r="H33" t="str">
            <v>REINGRESO</v>
          </cell>
          <cell r="I33" t="str">
            <v>RECONTRATACION</v>
          </cell>
          <cell r="J33">
            <v>270</v>
          </cell>
          <cell r="K33">
            <v>288.14999999999998</v>
          </cell>
          <cell r="L33" t="str">
            <v>SEM05</v>
          </cell>
          <cell r="M33" t="str">
            <v>5 SINDICALIZADO - TULTITLAN</v>
          </cell>
          <cell r="N33" t="str">
            <v>28/01/2000</v>
          </cell>
          <cell r="O33" t="str">
            <v>AAFA0001281I3</v>
          </cell>
          <cell r="P33" t="str">
            <v>AAFA000128HMCLLNA7</v>
          </cell>
          <cell r="Q33" t="str">
            <v>05180084047</v>
          </cell>
          <cell r="R33" t="str">
            <v>AVELLANAS 159 B</v>
          </cell>
          <cell r="S33"/>
          <cell r="T33"/>
          <cell r="U33" t="str">
            <v>U MORELOS 3RA SECC</v>
          </cell>
          <cell r="V33"/>
          <cell r="W33" t="str">
            <v>MEXICO</v>
          </cell>
          <cell r="X33">
            <v>54930</v>
          </cell>
          <cell r="Y33" t="str">
            <v>5588093835</v>
          </cell>
          <cell r="Z33"/>
          <cell r="AA33" t="str">
            <v>H</v>
          </cell>
          <cell r="AB33" t="str">
            <v>56882505524</v>
          </cell>
          <cell r="AC33" t="str">
            <v>PERMANENTE</v>
          </cell>
          <cell r="AD33" t="str">
            <v>MEXICO</v>
          </cell>
          <cell r="AE33" t="str">
            <v>SOLTERO(A)</v>
          </cell>
          <cell r="AF33" t="str">
            <v>SECUNDARIA</v>
          </cell>
          <cell r="AG33" t="str">
            <v>(OMISION)</v>
          </cell>
          <cell r="AH33"/>
          <cell r="AI33"/>
          <cell r="AJ33" t="str">
            <v>tonyboyalatienda@gmail.com</v>
          </cell>
          <cell r="AK33" t="str">
            <v>COSTO VARIABLE</v>
          </cell>
          <cell r="AL33" t="str">
            <v>AVIOR CAL</v>
          </cell>
          <cell r="AM33" t="str">
            <v>AV05 COLGATE EDOMX</v>
          </cell>
          <cell r="AN33"/>
          <cell r="AO33"/>
          <cell r="AP33" t="str">
            <v>10075429</v>
          </cell>
          <cell r="AR33" t="str">
            <v>Sindicalizado</v>
          </cell>
        </row>
        <row r="34">
          <cell r="A34" t="str">
            <v>51341</v>
          </cell>
          <cell r="B34" t="str">
            <v>BARRERA MENDEZ ROBERTO CARLOS</v>
          </cell>
          <cell r="C34" t="str">
            <v>MONTACARGUISTA</v>
          </cell>
          <cell r="D34" t="str">
            <v>PLANEACION Y LOGISTICA</v>
          </cell>
          <cell r="E34" t="str">
            <v>AV01020201 COLGATE MEX ALMACENAJE</v>
          </cell>
          <cell r="F34" t="str">
            <v>08/01/2024</v>
          </cell>
          <cell r="G34"/>
          <cell r="H34" t="str">
            <v>ALTA</v>
          </cell>
          <cell r="I34" t="str">
            <v>CONTRATACION</v>
          </cell>
          <cell r="J34">
            <v>292</v>
          </cell>
          <cell r="K34">
            <v>311.63</v>
          </cell>
          <cell r="L34" t="str">
            <v>SEM05</v>
          </cell>
          <cell r="M34" t="str">
            <v>5 SINDICALIZADO - TULTITLAN</v>
          </cell>
          <cell r="N34" t="str">
            <v>05/07/1992</v>
          </cell>
          <cell r="O34" t="str">
            <v>BAMR920705DY3</v>
          </cell>
          <cell r="P34" t="str">
            <v>BAMR920705HMCRNB09</v>
          </cell>
          <cell r="Q34" t="str">
            <v>92109224193</v>
          </cell>
          <cell r="R34" t="str">
            <v>CDA LA ROSITA MZ 329</v>
          </cell>
          <cell r="S34" t="str">
            <v>LT 26</v>
          </cell>
          <cell r="T34"/>
          <cell r="U34" t="str">
            <v>SAN MARTIN TEPETLIXPA</v>
          </cell>
          <cell r="V34"/>
          <cell r="W34" t="str">
            <v>MEXICO</v>
          </cell>
          <cell r="X34">
            <v>54763</v>
          </cell>
          <cell r="Y34" t="str">
            <v>5566565885</v>
          </cell>
          <cell r="Z34"/>
          <cell r="AA34" t="str">
            <v>H</v>
          </cell>
          <cell r="AB34" t="str">
            <v>56882425365</v>
          </cell>
          <cell r="AC34" t="str">
            <v>PERMANENTE</v>
          </cell>
          <cell r="AD34" t="str">
            <v>MEXICO</v>
          </cell>
          <cell r="AE34" t="str">
            <v>CASADO(A)</v>
          </cell>
          <cell r="AF34" t="str">
            <v>BACHILLERATO</v>
          </cell>
          <cell r="AG34" t="str">
            <v>(OMISION)</v>
          </cell>
          <cell r="AH34"/>
          <cell r="AI34"/>
          <cell r="AJ34" t="str">
            <v>robreverso92@gmail.com</v>
          </cell>
          <cell r="AK34" t="str">
            <v>COSTO VARIABLE</v>
          </cell>
          <cell r="AL34" t="str">
            <v>AVIOR CAL</v>
          </cell>
          <cell r="AM34" t="str">
            <v>AV05 COLGATE EDOMX</v>
          </cell>
          <cell r="AN34"/>
          <cell r="AO34"/>
          <cell r="AP34" t="str">
            <v>10080691</v>
          </cell>
          <cell r="AR34" t="str">
            <v>Sindicalizado</v>
          </cell>
        </row>
        <row r="35">
          <cell r="A35" t="str">
            <v>51342</v>
          </cell>
          <cell r="B35" t="str">
            <v>BRAVO FLORES ALFREDO</v>
          </cell>
          <cell r="C35" t="str">
            <v>AYUDANTE GENERAL</v>
          </cell>
          <cell r="D35" t="str">
            <v>PLANEACION Y LOGISTICA</v>
          </cell>
          <cell r="E35" t="str">
            <v>AV01020201 COLGATE MEX ALMACENAJE</v>
          </cell>
          <cell r="F35" t="str">
            <v>10/01/2024</v>
          </cell>
          <cell r="G35"/>
          <cell r="H35" t="str">
            <v>REINGRESO</v>
          </cell>
          <cell r="I35" t="str">
            <v>RECONTRATACION</v>
          </cell>
          <cell r="J35">
            <v>270</v>
          </cell>
          <cell r="K35">
            <v>288.14999999999998</v>
          </cell>
          <cell r="L35" t="str">
            <v>SEM05</v>
          </cell>
          <cell r="M35" t="str">
            <v>5 SINDICALIZADO - TULTITLAN</v>
          </cell>
          <cell r="N35" t="str">
            <v>06/09/1991</v>
          </cell>
          <cell r="O35" t="str">
            <v>BAFA910906AF4</v>
          </cell>
          <cell r="P35" t="str">
            <v>BAFA910906HPLRLL09</v>
          </cell>
          <cell r="Q35" t="str">
            <v>48089105406</v>
          </cell>
          <cell r="R35" t="str">
            <v>KILIMANJARO MZ 145</v>
          </cell>
          <cell r="S35" t="str">
            <v>LT 15</v>
          </cell>
          <cell r="T35"/>
          <cell r="U35" t="str">
            <v>LOMAS DE CUAUTEPEC</v>
          </cell>
          <cell r="V35"/>
          <cell r="W35" t="str">
            <v>DISTRITO FEDERAL</v>
          </cell>
          <cell r="X35">
            <v>7110</v>
          </cell>
          <cell r="Y35" t="str">
            <v>2471019791</v>
          </cell>
          <cell r="Z35"/>
          <cell r="AA35" t="str">
            <v>H</v>
          </cell>
          <cell r="AB35" t="str">
            <v>56882713157</v>
          </cell>
          <cell r="AC35" t="str">
            <v>PERMANENTE</v>
          </cell>
          <cell r="AD35" t="str">
            <v>PUEBLA</v>
          </cell>
          <cell r="AE35" t="str">
            <v>SOLTERO(A)</v>
          </cell>
          <cell r="AF35" t="str">
            <v>SECUNDARIA</v>
          </cell>
          <cell r="AG35" t="str">
            <v>(OMISION)</v>
          </cell>
          <cell r="AH35"/>
          <cell r="AI35"/>
          <cell r="AJ35" t="str">
            <v>bravofloresfer@gmail.com</v>
          </cell>
          <cell r="AK35" t="str">
            <v>COSTO VARIABLE</v>
          </cell>
          <cell r="AL35" t="str">
            <v>AVIOR CAL</v>
          </cell>
          <cell r="AM35" t="str">
            <v>AV05 COLGATE EDOMX</v>
          </cell>
          <cell r="AN35"/>
          <cell r="AO35"/>
          <cell r="AP35" t="str">
            <v>10080799</v>
          </cell>
          <cell r="AR35" t="str">
            <v>Sindicalizado</v>
          </cell>
        </row>
        <row r="36">
          <cell r="A36" t="str">
            <v>51343</v>
          </cell>
          <cell r="B36" t="str">
            <v>CRUZ SOSA TAURINO</v>
          </cell>
          <cell r="C36" t="str">
            <v>AUXILIAR DE INTENDENCIA</v>
          </cell>
          <cell r="D36" t="str">
            <v>SERVICIOS GENERALES</v>
          </cell>
          <cell r="E36" t="str">
            <v>AV01020201 COLGATE MEX ALMACENAJE</v>
          </cell>
          <cell r="F36" t="str">
            <v>10/01/2024</v>
          </cell>
          <cell r="G36" t="str">
            <v>11/01/2024</v>
          </cell>
          <cell r="H36" t="str">
            <v>BAJA</v>
          </cell>
          <cell r="I36" t="str">
            <v>ABANDONO DE EMPLEO</v>
          </cell>
          <cell r="J36">
            <v>248.93</v>
          </cell>
          <cell r="K36">
            <v>261.85000000000002</v>
          </cell>
          <cell r="L36" t="str">
            <v>SEM05</v>
          </cell>
          <cell r="M36" t="str">
            <v>5 CONFIANZA - TULTITLAN</v>
          </cell>
          <cell r="N36" t="str">
            <v>19/01/1985</v>
          </cell>
          <cell r="O36" t="str">
            <v>CUST850119AE0</v>
          </cell>
          <cell r="P36" t="str">
            <v>CUST850119HVZRSR08</v>
          </cell>
          <cell r="Q36" t="str">
            <v>92078511182</v>
          </cell>
          <cell r="R36" t="str">
            <v>SANTO DOMINGO MZ 44</v>
          </cell>
          <cell r="S36" t="str">
            <v>LT 7</v>
          </cell>
          <cell r="T36"/>
          <cell r="U36" t="str">
            <v>VALLE DE SAN LUCAS</v>
          </cell>
          <cell r="V36"/>
          <cell r="W36" t="str">
            <v>MEXICO</v>
          </cell>
          <cell r="X36">
            <v>54769</v>
          </cell>
          <cell r="Y36" t="str">
            <v>5546484064</v>
          </cell>
          <cell r="Z36"/>
          <cell r="AA36" t="str">
            <v>H</v>
          </cell>
          <cell r="AB36" t="str">
            <v>56882695714</v>
          </cell>
          <cell r="AC36" t="str">
            <v>PERMANENTE</v>
          </cell>
          <cell r="AD36" t="str">
            <v>VERACRUZ</v>
          </cell>
          <cell r="AE36" t="str">
            <v>SOLTERO(A)</v>
          </cell>
          <cell r="AF36" t="str">
            <v>BACHILLERATO</v>
          </cell>
          <cell r="AG36" t="str">
            <v>(OMISION)</v>
          </cell>
          <cell r="AH36"/>
          <cell r="AI36"/>
          <cell r="AJ36" t="str">
            <v>taurinocruz902@gmail.com</v>
          </cell>
          <cell r="AK36" t="str">
            <v>COSTO VARIABLE</v>
          </cell>
          <cell r="AL36" t="str">
            <v>AVIOR CAL</v>
          </cell>
          <cell r="AM36" t="str">
            <v>AV05 COLGATE EDOMX</v>
          </cell>
          <cell r="AN36"/>
          <cell r="AO36"/>
          <cell r="AP36" t="str">
            <v>10080789</v>
          </cell>
          <cell r="AR36" t="str">
            <v>Aministrativo</v>
          </cell>
        </row>
        <row r="37">
          <cell r="A37" t="str">
            <v>51344</v>
          </cell>
          <cell r="B37" t="str">
            <v>LOTINA MARTINEZ RAFAELA</v>
          </cell>
          <cell r="C37" t="str">
            <v>AYUDANTE GENERAL</v>
          </cell>
          <cell r="D37" t="str">
            <v>PLANEACION Y LOGISTICA</v>
          </cell>
          <cell r="E37" t="str">
            <v>AV01020201 COLGATE MEX ALMACENAJE</v>
          </cell>
          <cell r="F37" t="str">
            <v>10/01/2024</v>
          </cell>
          <cell r="G37"/>
          <cell r="H37" t="str">
            <v>ALTA</v>
          </cell>
          <cell r="I37" t="str">
            <v>CONTRATACION</v>
          </cell>
          <cell r="J37">
            <v>270</v>
          </cell>
          <cell r="K37">
            <v>288.14999999999998</v>
          </cell>
          <cell r="L37" t="str">
            <v>SEM05</v>
          </cell>
          <cell r="M37" t="str">
            <v>5 SINDICALIZADO - TULTITLAN</v>
          </cell>
          <cell r="N37" t="str">
            <v>24/10/1971</v>
          </cell>
          <cell r="O37" t="str">
            <v>LOMR711024UC4</v>
          </cell>
          <cell r="P37" t="str">
            <v>LOMR711024MVZTRF03</v>
          </cell>
          <cell r="Q37" t="str">
            <v>90947110152</v>
          </cell>
          <cell r="R37" t="str">
            <v>BOSQUE DE DURAZNOS</v>
          </cell>
          <cell r="S37" t="str">
            <v>12</v>
          </cell>
          <cell r="T37"/>
          <cell r="U37" t="str">
            <v>FRACC REAL DEL BOSQUE</v>
          </cell>
          <cell r="V37"/>
          <cell r="W37" t="str">
            <v>MEXICO</v>
          </cell>
          <cell r="X37">
            <v>54948</v>
          </cell>
          <cell r="Y37" t="str">
            <v>5539069767</v>
          </cell>
          <cell r="Z37"/>
          <cell r="AA37" t="str">
            <v>M</v>
          </cell>
          <cell r="AB37" t="str">
            <v>56882640502</v>
          </cell>
          <cell r="AC37" t="str">
            <v>PERMANENTE</v>
          </cell>
          <cell r="AD37" t="str">
            <v>VERACRUZ</v>
          </cell>
          <cell r="AE37" t="str">
            <v>CASADO(A)</v>
          </cell>
          <cell r="AF37" t="str">
            <v>SECUNDARIA</v>
          </cell>
          <cell r="AG37" t="str">
            <v>(OMISION)</v>
          </cell>
          <cell r="AH37"/>
          <cell r="AI37"/>
          <cell r="AJ37" t="str">
            <v>rafaelalotina@gmail.com</v>
          </cell>
          <cell r="AK37" t="str">
            <v>COSTO VARIABLE</v>
          </cell>
          <cell r="AL37" t="str">
            <v>AVIOR CAL</v>
          </cell>
          <cell r="AM37" t="str">
            <v>AV05 COLGATE EDOMX</v>
          </cell>
          <cell r="AN37"/>
          <cell r="AO37"/>
          <cell r="AP37" t="str">
            <v>10080786</v>
          </cell>
          <cell r="AR37" t="str">
            <v>Sindicalizado</v>
          </cell>
        </row>
        <row r="38">
          <cell r="A38" t="str">
            <v>51345</v>
          </cell>
          <cell r="B38" t="str">
            <v>PEREZ GONZALEZ MIGUEL ANGEL</v>
          </cell>
          <cell r="C38" t="str">
            <v>AUXILIAR DE SERVICIOS GENERALES</v>
          </cell>
          <cell r="D38" t="str">
            <v>SERVICIOS GENERALES</v>
          </cell>
          <cell r="E38" t="str">
            <v>AV01020201 COLGATE MEX ALMACENAJE</v>
          </cell>
          <cell r="F38" t="str">
            <v>10/01/2024</v>
          </cell>
          <cell r="G38"/>
          <cell r="H38" t="str">
            <v>REINGRESO</v>
          </cell>
          <cell r="I38" t="str">
            <v>RECONTRATACION</v>
          </cell>
          <cell r="J38">
            <v>248.93</v>
          </cell>
          <cell r="K38">
            <v>265.66000000000003</v>
          </cell>
          <cell r="L38" t="str">
            <v>SEM05</v>
          </cell>
          <cell r="M38" t="str">
            <v>5 SINDICALIZADO - TULTITLAN</v>
          </cell>
          <cell r="N38" t="str">
            <v>29/09/1971</v>
          </cell>
          <cell r="O38" t="str">
            <v>PEGM7109296H8</v>
          </cell>
          <cell r="P38" t="str">
            <v>PEGM710929HMCRNG05</v>
          </cell>
          <cell r="Q38" t="str">
            <v>92897146756</v>
          </cell>
          <cell r="R38" t="str">
            <v>Villa Puerto Mza 315 Lte 2</v>
          </cell>
          <cell r="S38"/>
          <cell r="T38"/>
          <cell r="U38" t="str">
            <v>Ampliación Villa de las Torres</v>
          </cell>
          <cell r="V38"/>
          <cell r="W38" t="str">
            <v>MEXICO</v>
          </cell>
          <cell r="X38">
            <v>52918</v>
          </cell>
          <cell r="Y38" t="str">
            <v>5514837093</v>
          </cell>
          <cell r="Z38"/>
          <cell r="AA38" t="str">
            <v>H</v>
          </cell>
          <cell r="AB38" t="str">
            <v>56865055635</v>
          </cell>
          <cell r="AC38" t="str">
            <v>PERMANENTE</v>
          </cell>
          <cell r="AD38" t="str">
            <v>MEXICO</v>
          </cell>
          <cell r="AE38" t="str">
            <v>UNION LIBRE</v>
          </cell>
          <cell r="AF38" t="str">
            <v>SECUNDARIA</v>
          </cell>
          <cell r="AG38" t="str">
            <v>(OMISION)</v>
          </cell>
          <cell r="AH38"/>
          <cell r="AI38"/>
          <cell r="AJ38" t="str">
            <v>c.javierp1106@gmail.com</v>
          </cell>
          <cell r="AK38" t="str">
            <v>COSTO VARIABLE</v>
          </cell>
          <cell r="AL38" t="str">
            <v>AVIOR CAL</v>
          </cell>
          <cell r="AM38" t="str">
            <v>AV05 COLGATE EDOMX</v>
          </cell>
          <cell r="AN38"/>
          <cell r="AO38"/>
          <cell r="AP38" t="str">
            <v>10030832</v>
          </cell>
          <cell r="AR38" t="str">
            <v>Sindicalizado</v>
          </cell>
        </row>
        <row r="39">
          <cell r="A39" t="str">
            <v>51346</v>
          </cell>
          <cell r="B39" t="str">
            <v>VALENZUELA LOPEZ ELIAS ALTAIR</v>
          </cell>
          <cell r="C39" t="str">
            <v>AUXILIAR DE INTENDENCIA</v>
          </cell>
          <cell r="D39" t="str">
            <v>SERVICIOS GENERALES</v>
          </cell>
          <cell r="E39" t="str">
            <v>AV01020201 COLGATE MEX ALMACENAJE</v>
          </cell>
          <cell r="F39" t="str">
            <v>10/01/2024</v>
          </cell>
          <cell r="G39"/>
          <cell r="H39" t="str">
            <v>ALTA</v>
          </cell>
          <cell r="I39" t="str">
            <v>CONTRATACION</v>
          </cell>
          <cell r="J39">
            <v>248.93</v>
          </cell>
          <cell r="K39">
            <v>261.85000000000002</v>
          </cell>
          <cell r="L39" t="str">
            <v>SEM05</v>
          </cell>
          <cell r="M39" t="str">
            <v>5 CONFIANZA - TULTITLAN</v>
          </cell>
          <cell r="N39" t="str">
            <v>09/08/2003</v>
          </cell>
          <cell r="O39" t="str">
            <v>VALE030809Q55</v>
          </cell>
          <cell r="P39" t="str">
            <v>VALE030809HMCLPLA6</v>
          </cell>
          <cell r="Q39" t="str">
            <v>01210377907</v>
          </cell>
          <cell r="R39" t="str">
            <v>CUAUTITLAN 37</v>
          </cell>
          <cell r="S39"/>
          <cell r="T39"/>
          <cell r="U39" t="str">
            <v>CUMBRIA</v>
          </cell>
          <cell r="V39"/>
          <cell r="W39" t="str">
            <v>MEXICO</v>
          </cell>
          <cell r="X39">
            <v>54740</v>
          </cell>
          <cell r="Y39" t="str">
            <v>5634631316</v>
          </cell>
          <cell r="Z39"/>
          <cell r="AA39" t="str">
            <v>H</v>
          </cell>
          <cell r="AB39" t="str">
            <v>56876938562</v>
          </cell>
          <cell r="AC39" t="str">
            <v>PERMANENTE</v>
          </cell>
          <cell r="AD39" t="str">
            <v>MEXICO</v>
          </cell>
          <cell r="AE39" t="str">
            <v>SOLTERO(A)</v>
          </cell>
          <cell r="AF39" t="str">
            <v>BACHILLERATO</v>
          </cell>
          <cell r="AG39" t="str">
            <v>(OMISION)</v>
          </cell>
          <cell r="AH39"/>
          <cell r="AI39"/>
          <cell r="AJ39" t="str">
            <v>altairta108@gmail.com</v>
          </cell>
          <cell r="AK39" t="str">
            <v>COSTO VARIABLE</v>
          </cell>
          <cell r="AL39" t="str">
            <v>AVIOR CAL</v>
          </cell>
          <cell r="AM39" t="str">
            <v>AV05 COLGATE EDOMX</v>
          </cell>
          <cell r="AN39"/>
          <cell r="AO39"/>
          <cell r="AP39" t="str">
            <v>10080785</v>
          </cell>
          <cell r="AR39" t="str">
            <v>Aministrativo</v>
          </cell>
        </row>
        <row r="40">
          <cell r="A40" t="str">
            <v>51347</v>
          </cell>
          <cell r="B40" t="str">
            <v>ZAVALA GONZALEZ ROBERTO</v>
          </cell>
          <cell r="C40" t="str">
            <v>AYUDANTE GENERAL</v>
          </cell>
          <cell r="D40" t="str">
            <v>PLANEACION Y LOGISTICA</v>
          </cell>
          <cell r="E40" t="str">
            <v>AV01020201 COLGATE MEX ALMACENAJE</v>
          </cell>
          <cell r="F40" t="str">
            <v>10/01/2024</v>
          </cell>
          <cell r="G40" t="str">
            <v>11/01/2024</v>
          </cell>
          <cell r="H40" t="str">
            <v>BAJA</v>
          </cell>
          <cell r="I40" t="str">
            <v>ABANDONO DE EMPLEO</v>
          </cell>
          <cell r="J40">
            <v>270</v>
          </cell>
          <cell r="K40">
            <v>288.14999999999998</v>
          </cell>
          <cell r="L40" t="str">
            <v>SEM05</v>
          </cell>
          <cell r="M40" t="str">
            <v>5 SINDICALIZADO - TULTITLAN</v>
          </cell>
          <cell r="N40" t="str">
            <v>22/06/1985</v>
          </cell>
          <cell r="O40" t="str">
            <v>ZAGR850622J17</v>
          </cell>
          <cell r="P40" t="str">
            <v>ZAGR850622HDFVNB03</v>
          </cell>
          <cell r="Q40" t="str">
            <v>94048516655</v>
          </cell>
          <cell r="R40" t="str">
            <v>2DO AND QUEBRADA EDIF 123 D 10</v>
          </cell>
          <cell r="S40"/>
          <cell r="T40"/>
          <cell r="U40" t="str">
            <v>ALBORADA JALTENCO</v>
          </cell>
          <cell r="V40"/>
          <cell r="W40" t="str">
            <v>MEXICO</v>
          </cell>
          <cell r="X40">
            <v>55783</v>
          </cell>
          <cell r="Y40" t="str">
            <v>5643915610</v>
          </cell>
          <cell r="Z40"/>
          <cell r="AA40" t="str">
            <v>H</v>
          </cell>
          <cell r="AB40" t="str">
            <v>56882698954</v>
          </cell>
          <cell r="AC40" t="str">
            <v>PERMANENTE</v>
          </cell>
          <cell r="AD40" t="str">
            <v>DISTRITO FEDERAL</v>
          </cell>
          <cell r="AE40" t="str">
            <v>CASADO(A)</v>
          </cell>
          <cell r="AF40" t="str">
            <v>SECUNDARIA</v>
          </cell>
          <cell r="AG40" t="str">
            <v>(OMISION)</v>
          </cell>
          <cell r="AH40"/>
          <cell r="AI40"/>
          <cell r="AJ40" t="str">
            <v>zavalarob13@gmail.com</v>
          </cell>
          <cell r="AK40" t="str">
            <v>COSTO VARIABLE</v>
          </cell>
          <cell r="AL40" t="str">
            <v>AVIOR CAL</v>
          </cell>
          <cell r="AM40" t="str">
            <v>AV05 COLGATE EDOMX</v>
          </cell>
          <cell r="AN40"/>
          <cell r="AO40"/>
          <cell r="AP40" t="str">
            <v>10080804</v>
          </cell>
          <cell r="AR40" t="str">
            <v>Sindicalizado</v>
          </cell>
        </row>
        <row r="41">
          <cell r="A41" t="str">
            <v>51348</v>
          </cell>
          <cell r="B41" t="str">
            <v>ESTRADA HERNANDEZ MARISOL</v>
          </cell>
          <cell r="C41" t="str">
            <v>AYUDANTE GENERAL</v>
          </cell>
          <cell r="D41" t="str">
            <v>PLANEACION Y LOGISTICA</v>
          </cell>
          <cell r="E41" t="str">
            <v>AV01020201 COLGATE MEX ALMACENAJE</v>
          </cell>
          <cell r="F41" t="str">
            <v>11/01/2024</v>
          </cell>
          <cell r="G41"/>
          <cell r="H41" t="str">
            <v>REINGRESO</v>
          </cell>
          <cell r="I41" t="str">
            <v>RECONTRATACION</v>
          </cell>
          <cell r="J41">
            <v>270</v>
          </cell>
          <cell r="K41">
            <v>288.14999999999998</v>
          </cell>
          <cell r="L41" t="str">
            <v>SEM05</v>
          </cell>
          <cell r="M41" t="str">
            <v>5 SINDICALIZADO - TULTITLAN</v>
          </cell>
          <cell r="N41" t="str">
            <v>12/04/1999</v>
          </cell>
          <cell r="O41" t="str">
            <v>EAHM990412BT9</v>
          </cell>
          <cell r="P41" t="str">
            <v>EAHM990412MMCSRR08</v>
          </cell>
          <cell r="Q41" t="str">
            <v>28169903086</v>
          </cell>
          <cell r="R41" t="str">
            <v>cda san pedro no. 6 b</v>
          </cell>
          <cell r="S41"/>
          <cell r="T41"/>
          <cell r="U41" t="str">
            <v>SAN PEDRO BARRIENTOS</v>
          </cell>
          <cell r="V41"/>
          <cell r="W41" t="str">
            <v>MEXICO</v>
          </cell>
          <cell r="X41">
            <v>54010</v>
          </cell>
          <cell r="Y41" t="str">
            <v>5631025693</v>
          </cell>
          <cell r="Z41"/>
          <cell r="AA41" t="str">
            <v>M</v>
          </cell>
          <cell r="AB41" t="str">
            <v>56882736918</v>
          </cell>
          <cell r="AC41" t="str">
            <v>PERMANENTE</v>
          </cell>
          <cell r="AD41" t="str">
            <v>MEXICO</v>
          </cell>
          <cell r="AE41" t="str">
            <v>SOLTERO(A)</v>
          </cell>
          <cell r="AF41" t="str">
            <v>BACHILLERATO</v>
          </cell>
          <cell r="AG41" t="str">
            <v>(OMISION)</v>
          </cell>
          <cell r="AH41"/>
          <cell r="AI41"/>
          <cell r="AJ41" t="str">
            <v>marisolaries@gmail.com</v>
          </cell>
          <cell r="AK41" t="str">
            <v>COSTO VARIABLE</v>
          </cell>
          <cell r="AL41" t="str">
            <v>AVIOR CAL</v>
          </cell>
          <cell r="AM41" t="str">
            <v>AV05 COLGATE EDOMX</v>
          </cell>
          <cell r="AN41"/>
          <cell r="AO41"/>
          <cell r="AP41" t="str">
            <v>10012736</v>
          </cell>
          <cell r="AR41" t="str">
            <v>Sindicalizado</v>
          </cell>
        </row>
        <row r="42">
          <cell r="A42" t="str">
            <v>51349</v>
          </cell>
          <cell r="B42" t="str">
            <v>LEON ALVAREZ HECTOR OMAR</v>
          </cell>
          <cell r="C42" t="str">
            <v>AYUDANTE GENERAL</v>
          </cell>
          <cell r="D42" t="str">
            <v>PLANEACION Y LOGISTICA</v>
          </cell>
          <cell r="E42" t="str">
            <v>AV01020201 COLGATE MEX ALMACENAJE</v>
          </cell>
          <cell r="F42" t="str">
            <v>11/01/2024</v>
          </cell>
          <cell r="G42"/>
          <cell r="H42" t="str">
            <v>ALTA</v>
          </cell>
          <cell r="I42" t="str">
            <v>CONTRATACION</v>
          </cell>
          <cell r="J42">
            <v>270</v>
          </cell>
          <cell r="K42">
            <v>288.14999999999998</v>
          </cell>
          <cell r="L42" t="str">
            <v>SEM05</v>
          </cell>
          <cell r="M42" t="str">
            <v>5 SINDICALIZADO - TULTITLAN</v>
          </cell>
          <cell r="N42" t="str">
            <v>13/02/1985</v>
          </cell>
          <cell r="O42" t="str">
            <v>LEAH850213120</v>
          </cell>
          <cell r="P42" t="str">
            <v>LEAH850213HDFNLC01</v>
          </cell>
          <cell r="Q42" t="str">
            <v>11038510308</v>
          </cell>
          <cell r="R42" t="str">
            <v>1RA CDA SONORA MZ 253</v>
          </cell>
          <cell r="S42" t="str">
            <v>LT 18</v>
          </cell>
          <cell r="T42"/>
          <cell r="U42" t="str">
            <v>LUIS ECHEVERRIA ALVAREZ</v>
          </cell>
          <cell r="V42"/>
          <cell r="W42" t="str">
            <v>MEXICO</v>
          </cell>
          <cell r="X42">
            <v>54753</v>
          </cell>
          <cell r="Y42" t="str">
            <v>5613463061</v>
          </cell>
          <cell r="Z42"/>
          <cell r="AA42" t="str">
            <v>H</v>
          </cell>
          <cell r="AB42" t="str">
            <v>56882862545</v>
          </cell>
          <cell r="AC42" t="str">
            <v>PERMANENTE</v>
          </cell>
          <cell r="AD42" t="str">
            <v>DISTRITO FEDERAL</v>
          </cell>
          <cell r="AE42" t="str">
            <v>UNION LIBRE</v>
          </cell>
          <cell r="AF42" t="str">
            <v>SECUNDARIA</v>
          </cell>
          <cell r="AG42" t="str">
            <v>(OMISION)</v>
          </cell>
          <cell r="AH42"/>
          <cell r="AI42"/>
          <cell r="AJ42" t="str">
            <v>hectoromarla8502@gmail.com</v>
          </cell>
          <cell r="AK42" t="str">
            <v>COSTO VARIABLE</v>
          </cell>
          <cell r="AL42" t="str">
            <v>AVIOR CAL</v>
          </cell>
          <cell r="AM42" t="str">
            <v>AV05 COLGATE EDOMX</v>
          </cell>
          <cell r="AN42"/>
          <cell r="AO42"/>
          <cell r="AP42" t="str">
            <v>10080859</v>
          </cell>
          <cell r="AR42" t="str">
            <v>Sindicalizado</v>
          </cell>
        </row>
        <row r="43">
          <cell r="A43" t="str">
            <v>51350</v>
          </cell>
          <cell r="B43" t="str">
            <v>TREJO FLORES EMMANUEL</v>
          </cell>
          <cell r="C43" t="str">
            <v>MONTACARGUISTA</v>
          </cell>
          <cell r="D43" t="str">
            <v>PLANEACION Y LOGISTICA</v>
          </cell>
          <cell r="E43" t="str">
            <v>AV01020201 COLGATE MEX ALMACENAJE</v>
          </cell>
          <cell r="F43" t="str">
            <v>11/01/2024</v>
          </cell>
          <cell r="G43"/>
          <cell r="H43" t="str">
            <v>ALTA</v>
          </cell>
          <cell r="I43" t="str">
            <v>CONTRATACION</v>
          </cell>
          <cell r="J43">
            <v>292</v>
          </cell>
          <cell r="K43">
            <v>311.63</v>
          </cell>
          <cell r="L43" t="str">
            <v>SEM05</v>
          </cell>
          <cell r="M43" t="str">
            <v>5 SINDICALIZADO - TULTITLAN</v>
          </cell>
          <cell r="N43" t="str">
            <v>12/01/1989</v>
          </cell>
          <cell r="O43" t="str">
            <v>TEFE890112DM2</v>
          </cell>
          <cell r="P43" t="str">
            <v>TEFE890112HDFRLM07</v>
          </cell>
          <cell r="Q43" t="str">
            <v>92078911150</v>
          </cell>
          <cell r="R43" t="str">
            <v>S/N</v>
          </cell>
          <cell r="S43"/>
          <cell r="T43"/>
          <cell r="U43" t="str">
            <v>BOSQUES DEL ALBA</v>
          </cell>
          <cell r="V43"/>
          <cell r="W43" t="str">
            <v>MEXICO</v>
          </cell>
          <cell r="X43">
            <v>54753</v>
          </cell>
          <cell r="Y43" t="str">
            <v>5567838810</v>
          </cell>
          <cell r="Z43"/>
          <cell r="AA43" t="str">
            <v>H</v>
          </cell>
          <cell r="AB43" t="str">
            <v>56882783407</v>
          </cell>
          <cell r="AC43" t="str">
            <v>PERMANENTE</v>
          </cell>
          <cell r="AD43" t="str">
            <v>DISTRITO FEDERAL</v>
          </cell>
          <cell r="AE43" t="str">
            <v>SOLTERO(A)</v>
          </cell>
          <cell r="AF43" t="str">
            <v>SECUNDARIA</v>
          </cell>
          <cell r="AG43" t="str">
            <v>(OMISION)</v>
          </cell>
          <cell r="AH43"/>
          <cell r="AI43"/>
          <cell r="AJ43" t="str">
            <v>manoloegdo@gmail.com</v>
          </cell>
          <cell r="AK43" t="str">
            <v>COSTO VARIABLE</v>
          </cell>
          <cell r="AL43" t="str">
            <v>AVIOR CAL</v>
          </cell>
          <cell r="AM43" t="str">
            <v>AV05 COLGATE EDOMX</v>
          </cell>
          <cell r="AN43"/>
          <cell r="AO43"/>
          <cell r="AP43" t="str">
            <v>10080863</v>
          </cell>
          <cell r="AR43" t="str">
            <v>Sindicalizado</v>
          </cell>
        </row>
        <row r="44">
          <cell r="A44" t="str">
            <v>51351</v>
          </cell>
          <cell r="B44" t="str">
            <v>AGUILAR GARCIA BRAYAN ALEXIS</v>
          </cell>
          <cell r="C44" t="str">
            <v>MONTACARGUISTA</v>
          </cell>
          <cell r="D44" t="str">
            <v>PLANEACION Y LOGISTICA</v>
          </cell>
          <cell r="E44" t="str">
            <v>AV01020201 COLGATE MEX ALMACENAJE</v>
          </cell>
          <cell r="F44" t="str">
            <v>12/01/2024</v>
          </cell>
          <cell r="G44" t="str">
            <v>24/01/2024</v>
          </cell>
          <cell r="H44" t="str">
            <v>BAJA</v>
          </cell>
          <cell r="I44" t="str">
            <v>AUSENTISMO</v>
          </cell>
          <cell r="J44">
            <v>292</v>
          </cell>
          <cell r="K44">
            <v>311.63</v>
          </cell>
          <cell r="L44" t="str">
            <v>SEM05</v>
          </cell>
          <cell r="M44" t="str">
            <v>5 SINDICALIZADO - TULTITLAN</v>
          </cell>
          <cell r="N44" t="str">
            <v>08/02/2001</v>
          </cell>
          <cell r="O44" t="str">
            <v>AUGB010208DY8</v>
          </cell>
          <cell r="P44" t="str">
            <v>AUGB010208HDFGRRA2</v>
          </cell>
          <cell r="Q44" t="str">
            <v>02180105336</v>
          </cell>
          <cell r="R44" t="str">
            <v>RANCHO 5 DE FEBRERO 215</v>
          </cell>
          <cell r="S44" t="str">
            <v>22</v>
          </cell>
          <cell r="T44"/>
          <cell r="U44" t="str">
            <v>BUENAVISTA</v>
          </cell>
          <cell r="V44"/>
          <cell r="W44" t="str">
            <v>MEXICO</v>
          </cell>
          <cell r="X44">
            <v>55635</v>
          </cell>
          <cell r="Y44" t="str">
            <v>5522789074</v>
          </cell>
          <cell r="Z44"/>
          <cell r="AA44" t="str">
            <v>H</v>
          </cell>
          <cell r="AB44" t="str">
            <v>56882962707</v>
          </cell>
          <cell r="AC44" t="str">
            <v>PERMANENTE</v>
          </cell>
          <cell r="AD44" t="str">
            <v>DISTRITO FEDERAL</v>
          </cell>
          <cell r="AE44" t="str">
            <v>SOLTERO(A)</v>
          </cell>
          <cell r="AF44" t="str">
            <v>SECUNDARIA</v>
          </cell>
          <cell r="AG44" t="str">
            <v>(OMISION)</v>
          </cell>
          <cell r="AH44"/>
          <cell r="AI44"/>
          <cell r="AJ44" t="str">
            <v>brayanaguilar0802@gmail.com</v>
          </cell>
          <cell r="AK44" t="str">
            <v>COSTO VARIABLE</v>
          </cell>
          <cell r="AL44" t="str">
            <v>AVIOR CAL</v>
          </cell>
          <cell r="AM44" t="str">
            <v>AV05 COLGATE EDOMX</v>
          </cell>
          <cell r="AN44"/>
          <cell r="AO44"/>
          <cell r="AP44" t="str">
            <v>10081012</v>
          </cell>
          <cell r="AR44" t="str">
            <v>Sindicalizado</v>
          </cell>
        </row>
        <row r="45">
          <cell r="A45" t="str">
            <v>51352</v>
          </cell>
          <cell r="B45" t="str">
            <v>SANCHEZ GARCIA YOLANDA</v>
          </cell>
          <cell r="C45" t="str">
            <v>AUXILIAR DE INTENDENCIA</v>
          </cell>
          <cell r="D45" t="str">
            <v>SERVICIOS GENERALES</v>
          </cell>
          <cell r="E45" t="str">
            <v>AV01020201 COLGATE MEX ALMACENAJE</v>
          </cell>
          <cell r="F45" t="str">
            <v>12/01/2024</v>
          </cell>
          <cell r="G45"/>
          <cell r="H45" t="str">
            <v>ALTA</v>
          </cell>
          <cell r="I45" t="str">
            <v>CONTRATACION</v>
          </cell>
          <cell r="J45">
            <v>248.93</v>
          </cell>
          <cell r="K45">
            <v>261.85000000000002</v>
          </cell>
          <cell r="L45" t="str">
            <v>SEM05</v>
          </cell>
          <cell r="M45" t="str">
            <v>5 CONFIANZA - TULTITLAN</v>
          </cell>
          <cell r="N45" t="str">
            <v>12/07/1968</v>
          </cell>
          <cell r="O45" t="str">
            <v>SAGY6807129B9</v>
          </cell>
          <cell r="P45" t="str">
            <v>SAGY680712MDFNRL07</v>
          </cell>
          <cell r="Q45" t="str">
            <v>01866809039</v>
          </cell>
          <cell r="R45" t="str">
            <v>HOLANDESES C EDIF 1</v>
          </cell>
          <cell r="S45" t="str">
            <v>201</v>
          </cell>
          <cell r="T45"/>
          <cell r="U45" t="str">
            <v>BOSQUES DEL ALBA</v>
          </cell>
          <cell r="V45"/>
          <cell r="W45" t="str">
            <v>MEXICO</v>
          </cell>
          <cell r="X45">
            <v>54753</v>
          </cell>
          <cell r="Y45" t="str">
            <v>5574737132</v>
          </cell>
          <cell r="Z45"/>
          <cell r="AA45" t="str">
            <v>M</v>
          </cell>
          <cell r="AB45" t="str">
            <v>56882862562</v>
          </cell>
          <cell r="AC45" t="str">
            <v>PERMANENTE</v>
          </cell>
          <cell r="AD45" t="str">
            <v>DISTRITO FEDERAL</v>
          </cell>
          <cell r="AE45" t="str">
            <v>CASADO(A)</v>
          </cell>
          <cell r="AF45" t="str">
            <v>PRIMARIA</v>
          </cell>
          <cell r="AG45" t="str">
            <v>(OMISION)</v>
          </cell>
          <cell r="AH45"/>
          <cell r="AI45"/>
          <cell r="AJ45" t="str">
            <v>yolandasanchezgl207@gmail.com</v>
          </cell>
          <cell r="AK45" t="str">
            <v>COSTO VARIABLE</v>
          </cell>
          <cell r="AL45" t="str">
            <v>AVIOR CAL</v>
          </cell>
          <cell r="AM45" t="str">
            <v>AV05 COLGATE EDOMX</v>
          </cell>
          <cell r="AN45"/>
          <cell r="AO45"/>
          <cell r="AP45" t="str">
            <v>10080996</v>
          </cell>
          <cell r="AR45" t="str">
            <v>Aministrativo</v>
          </cell>
        </row>
        <row r="46">
          <cell r="A46" t="str">
            <v>51353</v>
          </cell>
          <cell r="B46" t="str">
            <v>ESTRADA CHARGOY JONATHAN ALEJANDRO</v>
          </cell>
          <cell r="C46" t="str">
            <v>AYUDANTE GENERAL</v>
          </cell>
          <cell r="D46" t="str">
            <v>PLANEACION Y LOGISTICA</v>
          </cell>
          <cell r="E46" t="str">
            <v>AV01020201 COLGATE MEX ALMACENAJE</v>
          </cell>
          <cell r="F46" t="str">
            <v>15/01/2024</v>
          </cell>
          <cell r="G46"/>
          <cell r="H46" t="str">
            <v>ALTA</v>
          </cell>
          <cell r="I46" t="str">
            <v>CONTRATACION</v>
          </cell>
          <cell r="J46">
            <v>248.93</v>
          </cell>
          <cell r="K46">
            <v>265.66000000000003</v>
          </cell>
          <cell r="L46" t="str">
            <v>SEM05</v>
          </cell>
          <cell r="M46" t="str">
            <v>5 SINDICALIZADO - TULTITLAN</v>
          </cell>
          <cell r="N46" t="str">
            <v>15/02/1993</v>
          </cell>
          <cell r="O46" t="str">
            <v>EACJ930215UR9</v>
          </cell>
          <cell r="P46" t="str">
            <v>EACJ930215HMCSHN05</v>
          </cell>
          <cell r="Q46" t="str">
            <v>93119314982</v>
          </cell>
          <cell r="R46" t="str">
            <v>MZA S9 B EDID Q 4</v>
          </cell>
          <cell r="S46" t="str">
            <v>202</v>
          </cell>
          <cell r="T46"/>
          <cell r="U46" t="str">
            <v>U HAB INFONAVIT NORTE</v>
          </cell>
          <cell r="V46"/>
          <cell r="W46" t="str">
            <v>MEXICO</v>
          </cell>
          <cell r="X46">
            <v>54720</v>
          </cell>
          <cell r="Y46" t="str">
            <v>5513216023</v>
          </cell>
          <cell r="Z46"/>
          <cell r="AA46" t="str">
            <v>H</v>
          </cell>
          <cell r="AB46" t="str">
            <v>60592676724</v>
          </cell>
          <cell r="AC46" t="str">
            <v>PERMANENTE</v>
          </cell>
          <cell r="AD46" t="str">
            <v>MEXICO</v>
          </cell>
          <cell r="AE46" t="str">
            <v>UNION LIBRE</v>
          </cell>
          <cell r="AF46" t="str">
            <v>BACHILLERATO</v>
          </cell>
          <cell r="AG46" t="str">
            <v>(OMISION)</v>
          </cell>
          <cell r="AH46"/>
          <cell r="AI46"/>
          <cell r="AJ46" t="str">
            <v>enikcito22chargoy@gmail.com</v>
          </cell>
          <cell r="AK46" t="str">
            <v>COSTO VARIABLE</v>
          </cell>
          <cell r="AL46" t="str">
            <v>AVIOR CAL</v>
          </cell>
          <cell r="AM46" t="str">
            <v>AV05 COLGATE EDOMX</v>
          </cell>
          <cell r="AN46"/>
          <cell r="AO46"/>
          <cell r="AP46" t="str">
            <v>10081089</v>
          </cell>
          <cell r="AR46" t="str">
            <v>Sindicalizado</v>
          </cell>
        </row>
        <row r="47">
          <cell r="A47" t="str">
            <v>51354</v>
          </cell>
          <cell r="B47" t="str">
            <v>GALVAN BANCA AARON</v>
          </cell>
          <cell r="C47" t="str">
            <v>AYUDANTE GENERAL</v>
          </cell>
          <cell r="D47" t="str">
            <v>PLANEACION Y LOGISTICA</v>
          </cell>
          <cell r="E47" t="str">
            <v>AV01020201 COLGATE MEX ALMACENAJE</v>
          </cell>
          <cell r="F47" t="str">
            <v>15/01/2024</v>
          </cell>
          <cell r="G47"/>
          <cell r="H47" t="str">
            <v>ALTA</v>
          </cell>
          <cell r="I47" t="str">
            <v>CONTRATACION</v>
          </cell>
          <cell r="J47">
            <v>248.93</v>
          </cell>
          <cell r="K47">
            <v>265.66000000000003</v>
          </cell>
          <cell r="L47" t="str">
            <v>SEM05</v>
          </cell>
          <cell r="M47" t="str">
            <v>5 SINDICALIZADO - TULTITLAN</v>
          </cell>
          <cell r="N47" t="str">
            <v>23/12/2002</v>
          </cell>
          <cell r="O47" t="str">
            <v>GABA0212231S4</v>
          </cell>
          <cell r="P47" t="str">
            <v>GABA021223HMCLNRA6</v>
          </cell>
          <cell r="Q47" t="str">
            <v>26180239704</v>
          </cell>
          <cell r="R47" t="str">
            <v>C NOCHEBUENA MZ 29</v>
          </cell>
          <cell r="S47" t="str">
            <v>LT 8 CASA 4</v>
          </cell>
          <cell r="T47"/>
          <cell r="U47" t="str">
            <v>FRACC LOS HEROES COACALCO</v>
          </cell>
          <cell r="V47"/>
          <cell r="W47" t="str">
            <v>MEXICO</v>
          </cell>
          <cell r="X47">
            <v>55712</v>
          </cell>
          <cell r="Y47" t="str">
            <v>5634244653</v>
          </cell>
          <cell r="Z47"/>
          <cell r="AA47" t="str">
            <v>H</v>
          </cell>
          <cell r="AB47" t="str">
            <v>56882695728</v>
          </cell>
          <cell r="AC47" t="str">
            <v>PERMANENTE</v>
          </cell>
          <cell r="AD47" t="str">
            <v>MEXICO</v>
          </cell>
          <cell r="AE47" t="str">
            <v>SOLTERO(A)</v>
          </cell>
          <cell r="AF47" t="str">
            <v>BACHILLERATO</v>
          </cell>
          <cell r="AG47" t="str">
            <v>(OMISION)</v>
          </cell>
          <cell r="AH47"/>
          <cell r="AI47"/>
          <cell r="AJ47" t="str">
            <v>aaronmesi.ag@gmail.com</v>
          </cell>
          <cell r="AK47" t="str">
            <v>COSTO VARIABLE</v>
          </cell>
          <cell r="AL47" t="str">
            <v>AVIOR CAL</v>
          </cell>
          <cell r="AM47" t="str">
            <v>AV05 COLGATE EDOMX</v>
          </cell>
          <cell r="AN47"/>
          <cell r="AO47"/>
          <cell r="AP47" t="str">
            <v>10081080</v>
          </cell>
          <cell r="AR47" t="str">
            <v>Sindicalizado</v>
          </cell>
        </row>
        <row r="48">
          <cell r="A48" t="str">
            <v>51355</v>
          </cell>
          <cell r="B48" t="str">
            <v>PEREZ MARTINEZ FRANCISCO JAVIER</v>
          </cell>
          <cell r="C48" t="str">
            <v>AYUDANTE GENERAL</v>
          </cell>
          <cell r="D48" t="str">
            <v>PLANEACION Y LOGISTICA</v>
          </cell>
          <cell r="E48" t="str">
            <v>AV01020201 COLGATE MEX ALMACENAJE</v>
          </cell>
          <cell r="F48" t="str">
            <v>15/01/2024</v>
          </cell>
          <cell r="G48"/>
          <cell r="H48" t="str">
            <v>ALTA</v>
          </cell>
          <cell r="I48" t="str">
            <v>CONTRATACION</v>
          </cell>
          <cell r="J48">
            <v>248.93</v>
          </cell>
          <cell r="K48">
            <v>265.66000000000003</v>
          </cell>
          <cell r="L48" t="str">
            <v>SEM05</v>
          </cell>
          <cell r="M48" t="str">
            <v>5 SINDICALIZADO - TULTITLAN</v>
          </cell>
          <cell r="N48" t="str">
            <v>21/04/1989</v>
          </cell>
          <cell r="O48" t="str">
            <v>PEMF890421157</v>
          </cell>
          <cell r="P48" t="str">
            <v>PEMF890421HMCRRR07</v>
          </cell>
          <cell r="Q48" t="str">
            <v>94078963264</v>
          </cell>
          <cell r="R48" t="str">
            <v>C MZ A R EDI 5</v>
          </cell>
          <cell r="S48" t="str">
            <v>DEPT 402</v>
          </cell>
          <cell r="T48"/>
          <cell r="U48" t="str">
            <v>U HAB POTRERO DE LA LAGUNA</v>
          </cell>
          <cell r="V48"/>
          <cell r="W48" t="str">
            <v>MEXICO</v>
          </cell>
          <cell r="X48">
            <v>55718</v>
          </cell>
          <cell r="Y48" t="str">
            <v>5538268240</v>
          </cell>
          <cell r="Z48"/>
          <cell r="AA48" t="str">
            <v>H</v>
          </cell>
          <cell r="AB48" t="str">
            <v>14001220653</v>
          </cell>
          <cell r="AC48" t="str">
            <v>PERMANENTE</v>
          </cell>
          <cell r="AD48" t="str">
            <v>MEXICO</v>
          </cell>
          <cell r="AE48" t="str">
            <v>SOLTERO(A)</v>
          </cell>
          <cell r="AF48" t="str">
            <v>SECUNDARIA</v>
          </cell>
          <cell r="AG48" t="str">
            <v>(OMISION)</v>
          </cell>
          <cell r="AH48"/>
          <cell r="AI48"/>
          <cell r="AJ48" t="str">
            <v>franciscopemart.21@gmail.com</v>
          </cell>
          <cell r="AK48" t="str">
            <v>COSTO VARIABLE</v>
          </cell>
          <cell r="AL48" t="str">
            <v>AVIOR CAL</v>
          </cell>
          <cell r="AM48" t="str">
            <v>AV05 COLGATE EDOMX</v>
          </cell>
          <cell r="AN48"/>
          <cell r="AO48"/>
          <cell r="AP48" t="str">
            <v>10081085</v>
          </cell>
          <cell r="AR48" t="str">
            <v>Sindicalizado</v>
          </cell>
        </row>
        <row r="49">
          <cell r="A49" t="str">
            <v>51356</v>
          </cell>
          <cell r="B49" t="str">
            <v>CABRERA SANTIAGO BRAYHAM ABRAHAM</v>
          </cell>
          <cell r="C49" t="str">
            <v>AYUDANTE GENERAL</v>
          </cell>
          <cell r="D49" t="str">
            <v>PLANEACION Y LOGISTICA</v>
          </cell>
          <cell r="E49" t="str">
            <v>AV01020201 COLGATE MEX ALMACENAJE</v>
          </cell>
          <cell r="F49" t="str">
            <v>16/01/2024</v>
          </cell>
          <cell r="G49" t="str">
            <v>24/01/2024</v>
          </cell>
          <cell r="H49" t="str">
            <v>BAJA</v>
          </cell>
          <cell r="I49" t="str">
            <v>ABANDONO DE EMPLEO</v>
          </cell>
          <cell r="J49">
            <v>248.93</v>
          </cell>
          <cell r="K49">
            <v>265.66000000000003</v>
          </cell>
          <cell r="L49" t="str">
            <v>SEM05</v>
          </cell>
          <cell r="M49" t="str">
            <v>5 SINDICALIZADO - TULTITLAN</v>
          </cell>
          <cell r="N49" t="str">
            <v>20/05/2002</v>
          </cell>
          <cell r="O49" t="str">
            <v>CASB020520AU5</v>
          </cell>
          <cell r="P49" t="str">
            <v>CASB020520HDFBNRA6</v>
          </cell>
          <cell r="Q49" t="str">
            <v>08190281363</v>
          </cell>
          <cell r="R49" t="str">
            <v>centauro mz 2</v>
          </cell>
          <cell r="S49" t="str">
            <v>lt 16 d</v>
          </cell>
          <cell r="T49"/>
          <cell r="U49" t="str">
            <v>chinampas</v>
          </cell>
          <cell r="V49"/>
          <cell r="W49" t="str">
            <v>MEXICO</v>
          </cell>
          <cell r="X49">
            <v>54935</v>
          </cell>
          <cell r="Y49" t="str">
            <v>5582459475</v>
          </cell>
          <cell r="Z49"/>
          <cell r="AA49" t="str">
            <v>H</v>
          </cell>
          <cell r="AB49" t="str">
            <v>56883167661</v>
          </cell>
          <cell r="AC49" t="str">
            <v>PERMANENTE</v>
          </cell>
          <cell r="AD49" t="str">
            <v>DISTRITO FEDERAL</v>
          </cell>
          <cell r="AE49" t="str">
            <v>CASADO(A)</v>
          </cell>
          <cell r="AF49" t="str">
            <v>SECUNDARIA</v>
          </cell>
          <cell r="AG49" t="str">
            <v>(OMISION)</v>
          </cell>
          <cell r="AH49"/>
          <cell r="AI49"/>
          <cell r="AJ49" t="str">
            <v>cabrerabrayham87@gmail.com</v>
          </cell>
          <cell r="AK49" t="str">
            <v>COSTO VARIABLE</v>
          </cell>
          <cell r="AL49" t="str">
            <v>AVIOR CAL</v>
          </cell>
          <cell r="AM49" t="str">
            <v>AV05 COLGATE EDOMX</v>
          </cell>
          <cell r="AN49"/>
          <cell r="AO49"/>
          <cell r="AP49" t="str">
            <v>10081116</v>
          </cell>
          <cell r="AR49" t="str">
            <v>Sindicalizado</v>
          </cell>
        </row>
        <row r="50">
          <cell r="A50" t="str">
            <v>51357</v>
          </cell>
          <cell r="B50" t="str">
            <v>MORALES HERNANDEZ TOLENTINO</v>
          </cell>
          <cell r="C50" t="str">
            <v>MONTACARGUISTA</v>
          </cell>
          <cell r="D50" t="str">
            <v>PLANEACION Y LOGISTICA</v>
          </cell>
          <cell r="E50" t="str">
            <v>AV01020201 COLGATE MEX ALMACENAJE</v>
          </cell>
          <cell r="F50" t="str">
            <v>16/01/2024</v>
          </cell>
          <cell r="G50"/>
          <cell r="H50" t="str">
            <v>ALTA</v>
          </cell>
          <cell r="I50" t="str">
            <v>CONTRATACION</v>
          </cell>
          <cell r="J50">
            <v>292</v>
          </cell>
          <cell r="K50">
            <v>311.63</v>
          </cell>
          <cell r="L50" t="str">
            <v>SEM05</v>
          </cell>
          <cell r="M50" t="str">
            <v>5 SINDICALIZADO - TULTITLAN</v>
          </cell>
          <cell r="N50" t="str">
            <v>09/04/1975</v>
          </cell>
          <cell r="O50" t="str">
            <v>MOHT7504092K5</v>
          </cell>
          <cell r="P50" t="str">
            <v>MOHT750409HHGRRL03</v>
          </cell>
          <cell r="Q50" t="str">
            <v>92927544061</v>
          </cell>
          <cell r="R50" t="str">
            <v>AMAPOLAS</v>
          </cell>
          <cell r="S50"/>
          <cell r="T50"/>
          <cell r="U50" t="str">
            <v>RICARDO FLORES MAGON</v>
          </cell>
          <cell r="V50"/>
          <cell r="W50" t="str">
            <v>MEXICO</v>
          </cell>
          <cell r="X50">
            <v>54607</v>
          </cell>
          <cell r="Y50" t="str">
            <v>5544914899</v>
          </cell>
          <cell r="Z50"/>
          <cell r="AA50" t="str">
            <v>H</v>
          </cell>
          <cell r="AB50" t="str">
            <v>56883167675</v>
          </cell>
          <cell r="AC50" t="str">
            <v>PERMANENTE</v>
          </cell>
          <cell r="AD50" t="str">
            <v>HIDALGO</v>
          </cell>
          <cell r="AE50" t="str">
            <v>CASADO(A)</v>
          </cell>
          <cell r="AF50" t="str">
            <v>PRIMARIA</v>
          </cell>
          <cell r="AG50" t="str">
            <v>(OMISION)</v>
          </cell>
          <cell r="AH50"/>
          <cell r="AI50"/>
          <cell r="AJ50" t="str">
            <v>tolentinom33c@gmail.com</v>
          </cell>
          <cell r="AK50" t="str">
            <v>COSTO VARIABLE</v>
          </cell>
          <cell r="AL50" t="str">
            <v>AVIOR CAL</v>
          </cell>
          <cell r="AM50" t="str">
            <v>AV05 COLGATE EDOMX</v>
          </cell>
          <cell r="AN50"/>
          <cell r="AO50"/>
          <cell r="AP50" t="str">
            <v>10081124</v>
          </cell>
          <cell r="AR50" t="str">
            <v>Sindicalizado</v>
          </cell>
        </row>
        <row r="51">
          <cell r="A51" t="str">
            <v>51358</v>
          </cell>
          <cell r="B51" t="str">
            <v>ALVARADO CRUZ MARIEL</v>
          </cell>
          <cell r="C51" t="str">
            <v>AYUDANTE GENERAL</v>
          </cell>
          <cell r="D51" t="str">
            <v>PLANEACION Y LOGISTICA</v>
          </cell>
          <cell r="E51" t="str">
            <v>AV01020201 COLGATE MEX ALMACENAJE</v>
          </cell>
          <cell r="F51" t="str">
            <v>17/01/2024</v>
          </cell>
          <cell r="G51" t="str">
            <v>24/01/2024</v>
          </cell>
          <cell r="H51" t="str">
            <v>BAJA</v>
          </cell>
          <cell r="I51" t="str">
            <v>ABANDONO DE EMPLEO</v>
          </cell>
          <cell r="J51">
            <v>248.93</v>
          </cell>
          <cell r="K51">
            <v>265.66000000000003</v>
          </cell>
          <cell r="L51" t="str">
            <v>SEM05</v>
          </cell>
          <cell r="M51" t="str">
            <v>5 SINDICALIZADO - TULTITLAN</v>
          </cell>
          <cell r="N51" t="str">
            <v>05/12/1987</v>
          </cell>
          <cell r="O51" t="str">
            <v>AACM871205DR5</v>
          </cell>
          <cell r="P51" t="str">
            <v>AACM871205MDFLRR08</v>
          </cell>
          <cell r="Q51" t="str">
            <v>02238728113</v>
          </cell>
          <cell r="R51" t="str">
            <v>AV BOSQUE DE CONTRERAS 105</v>
          </cell>
          <cell r="S51" t="str">
            <v>27</v>
          </cell>
          <cell r="T51"/>
          <cell r="U51" t="str">
            <v>CONJUNTO DEL VALLE COACALCO</v>
          </cell>
          <cell r="V51"/>
          <cell r="W51" t="str">
            <v>MEXICO</v>
          </cell>
          <cell r="X51">
            <v>55717</v>
          </cell>
          <cell r="Y51" t="str">
            <v>5637136800</v>
          </cell>
          <cell r="Z51"/>
          <cell r="AA51" t="str">
            <v>M</v>
          </cell>
          <cell r="AB51" t="str">
            <v>56883096668</v>
          </cell>
          <cell r="AC51" t="str">
            <v>PERMANENTE</v>
          </cell>
          <cell r="AD51" t="str">
            <v>DISTRITO FEDERAL</v>
          </cell>
          <cell r="AE51" t="str">
            <v>SOLTERO(A)</v>
          </cell>
          <cell r="AF51" t="str">
            <v>SECUNDARIA</v>
          </cell>
          <cell r="AG51" t="str">
            <v>(OMISION)</v>
          </cell>
          <cell r="AH51"/>
          <cell r="AI51"/>
          <cell r="AJ51" t="str">
            <v>maralcru713@gmail.com</v>
          </cell>
          <cell r="AK51" t="str">
            <v>COSTO VARIABLE</v>
          </cell>
          <cell r="AL51" t="str">
            <v>AVIOR CAL</v>
          </cell>
          <cell r="AM51" t="str">
            <v>AV05 COLGATE EDOMX</v>
          </cell>
          <cell r="AN51"/>
          <cell r="AO51"/>
          <cell r="AP51" t="str">
            <v>10081188</v>
          </cell>
          <cell r="AR51" t="str">
            <v>Sindicalizado</v>
          </cell>
        </row>
        <row r="52">
          <cell r="A52" t="str">
            <v>51359</v>
          </cell>
          <cell r="B52" t="str">
            <v>BETANZO CARDENAS ANGEL DAVID</v>
          </cell>
          <cell r="C52" t="str">
            <v>AYUDANTE GENERAL</v>
          </cell>
          <cell r="D52" t="str">
            <v>PLANEACION Y LOGISTICA</v>
          </cell>
          <cell r="E52" t="str">
            <v>AV01020201 COLGATE MEX ALMACENAJE</v>
          </cell>
          <cell r="F52" t="str">
            <v>17/01/2024</v>
          </cell>
          <cell r="G52"/>
          <cell r="H52" t="str">
            <v>ALTA</v>
          </cell>
          <cell r="I52" t="str">
            <v>CONTRATACION</v>
          </cell>
          <cell r="J52">
            <v>248.93</v>
          </cell>
          <cell r="K52">
            <v>265.66000000000003</v>
          </cell>
          <cell r="L52" t="str">
            <v>SEM05</v>
          </cell>
          <cell r="M52" t="str">
            <v>5 SINDICALIZADO - TULTITLAN</v>
          </cell>
          <cell r="N52" t="str">
            <v>23/11/2004</v>
          </cell>
          <cell r="O52" t="str">
            <v>BECA041123P56</v>
          </cell>
          <cell r="P52" t="str">
            <v>BECA041123HDFTRNA2</v>
          </cell>
          <cell r="Q52" t="str">
            <v>27230468855</v>
          </cell>
          <cell r="R52" t="str">
            <v>AVELLANAS 159 B</v>
          </cell>
          <cell r="S52"/>
          <cell r="T52"/>
          <cell r="U52" t="str">
            <v>U MORELOS 3RA SECC</v>
          </cell>
          <cell r="V52"/>
          <cell r="W52" t="str">
            <v>MEXICO</v>
          </cell>
          <cell r="X52">
            <v>54930</v>
          </cell>
          <cell r="Y52" t="str">
            <v>5566228352</v>
          </cell>
          <cell r="Z52"/>
          <cell r="AA52" t="str">
            <v>H</v>
          </cell>
          <cell r="AB52" t="str">
            <v>56883313722</v>
          </cell>
          <cell r="AC52" t="str">
            <v>PERMANENTE</v>
          </cell>
          <cell r="AD52" t="str">
            <v>DISTRITO FEDERAL</v>
          </cell>
          <cell r="AE52" t="str">
            <v>CASADO(A)</v>
          </cell>
          <cell r="AF52" t="str">
            <v>SECUNDARIA</v>
          </cell>
          <cell r="AG52" t="str">
            <v>(OMISION)</v>
          </cell>
          <cell r="AH52"/>
          <cell r="AI52"/>
          <cell r="AJ52" t="str">
            <v>abetanzo396@gmail.com</v>
          </cell>
          <cell r="AK52" t="str">
            <v>COSTO VARIABLE</v>
          </cell>
          <cell r="AL52" t="str">
            <v>AVIOR CAL</v>
          </cell>
          <cell r="AM52" t="str">
            <v>AV05 COLGATE EDOMX</v>
          </cell>
          <cell r="AN52"/>
          <cell r="AO52"/>
          <cell r="AP52" t="str">
            <v>10081182</v>
          </cell>
          <cell r="AR52" t="str">
            <v>Sindicalizado</v>
          </cell>
        </row>
        <row r="53">
          <cell r="A53" t="str">
            <v>51360</v>
          </cell>
          <cell r="B53" t="str">
            <v>DIAZ ORTIZ ABRAHAM</v>
          </cell>
          <cell r="C53" t="str">
            <v>MONTACARGUISTA</v>
          </cell>
          <cell r="D53" t="str">
            <v>PLANEACION Y LOGISTICA</v>
          </cell>
          <cell r="E53" t="str">
            <v>AV01020201 COLGATE MEX ALMACENAJE</v>
          </cell>
          <cell r="F53" t="str">
            <v>17/01/2024</v>
          </cell>
          <cell r="G53"/>
          <cell r="H53" t="str">
            <v>ALTA</v>
          </cell>
          <cell r="I53" t="str">
            <v>CONTRATACION</v>
          </cell>
          <cell r="J53">
            <v>292</v>
          </cell>
          <cell r="K53">
            <v>311.63</v>
          </cell>
          <cell r="L53" t="str">
            <v>SEM05</v>
          </cell>
          <cell r="M53" t="str">
            <v>5 SINDICALIZADO - TULTITLAN</v>
          </cell>
          <cell r="N53" t="str">
            <v>24/12/1987</v>
          </cell>
          <cell r="O53" t="str">
            <v>DIOA871224AX3</v>
          </cell>
          <cell r="P53" t="str">
            <v>DIOA871224HDFZRB05</v>
          </cell>
          <cell r="Q53" t="str">
            <v>92058705911</v>
          </cell>
          <cell r="R53" t="str">
            <v>AV RANCHO SAN JOSE MZA 01 LT 0</v>
          </cell>
          <cell r="S53" t="str">
            <v>CASA 42</v>
          </cell>
          <cell r="T53"/>
          <cell r="U53" t="str">
            <v>VILLAS DE SAN JOSE</v>
          </cell>
          <cell r="V53"/>
          <cell r="W53" t="str">
            <v>MEXICO</v>
          </cell>
          <cell r="X53">
            <v>54910</v>
          </cell>
          <cell r="Y53" t="str">
            <v>5544794313</v>
          </cell>
          <cell r="Z53"/>
          <cell r="AA53" t="str">
            <v>H</v>
          </cell>
          <cell r="AB53" t="str">
            <v>56883313770</v>
          </cell>
          <cell r="AC53" t="str">
            <v>PERMANENTE</v>
          </cell>
          <cell r="AD53" t="str">
            <v>DISTRITO FEDERAL</v>
          </cell>
          <cell r="AE53" t="str">
            <v>UNION LIBRE</v>
          </cell>
          <cell r="AF53" t="str">
            <v>BACHILLERATO</v>
          </cell>
          <cell r="AG53" t="str">
            <v>(OMISION)</v>
          </cell>
          <cell r="AH53"/>
          <cell r="AI53"/>
          <cell r="AJ53" t="str">
            <v>abrahamdiazortiz@gmail.com</v>
          </cell>
          <cell r="AK53" t="str">
            <v>COSTO VARIABLE</v>
          </cell>
          <cell r="AL53" t="str">
            <v>AVIOR CAL</v>
          </cell>
          <cell r="AM53" t="str">
            <v>AV05 COLGATE EDOMX</v>
          </cell>
          <cell r="AN53"/>
          <cell r="AO53"/>
          <cell r="AP53" t="str">
            <v>10081196</v>
          </cell>
          <cell r="AR53" t="str">
            <v>Sindicalizado</v>
          </cell>
        </row>
        <row r="54">
          <cell r="A54" t="str">
            <v>51361</v>
          </cell>
          <cell r="B54" t="str">
            <v>FRAGOSO HERNANDEZ SANTIAGO</v>
          </cell>
          <cell r="C54" t="str">
            <v>AYUDANTE GENERAL</v>
          </cell>
          <cell r="D54" t="str">
            <v>PLANEACION Y LOGISTICA</v>
          </cell>
          <cell r="E54" t="str">
            <v>AV01020201 COLGATE MEX ALMACENAJE</v>
          </cell>
          <cell r="F54" t="str">
            <v>17/01/2024</v>
          </cell>
          <cell r="G54"/>
          <cell r="H54" t="str">
            <v>ALTA</v>
          </cell>
          <cell r="I54" t="str">
            <v>CONTRATACION</v>
          </cell>
          <cell r="J54">
            <v>248.93</v>
          </cell>
          <cell r="K54">
            <v>265.66000000000003</v>
          </cell>
          <cell r="L54" t="str">
            <v>SEM05</v>
          </cell>
          <cell r="M54" t="str">
            <v>5 SINDICALIZADO - TULTITLAN</v>
          </cell>
          <cell r="N54" t="str">
            <v>23/09/2004</v>
          </cell>
          <cell r="O54" t="str">
            <v>FAHS040923JL2</v>
          </cell>
          <cell r="P54" t="str">
            <v>FAHS040923HDFRRNA7</v>
          </cell>
          <cell r="Q54" t="str">
            <v>19230471054</v>
          </cell>
          <cell r="R54" t="str">
            <v>OLMO MZ 78</v>
          </cell>
          <cell r="S54" t="str">
            <v>LT 278</v>
          </cell>
          <cell r="T54"/>
          <cell r="U54" t="str">
            <v>LA PIEDAD 1</v>
          </cell>
          <cell r="V54"/>
          <cell r="W54" t="str">
            <v>MEXICO</v>
          </cell>
          <cell r="X54">
            <v>54720</v>
          </cell>
          <cell r="Y54" t="str">
            <v>5631117974</v>
          </cell>
          <cell r="Z54"/>
          <cell r="AA54" t="str">
            <v>H</v>
          </cell>
          <cell r="AB54" t="str">
            <v>56883313753</v>
          </cell>
          <cell r="AC54" t="str">
            <v>PERMANENTE</v>
          </cell>
          <cell r="AD54" t="str">
            <v>DISTRITO FEDERAL</v>
          </cell>
          <cell r="AE54" t="str">
            <v>SOLTERO(A)</v>
          </cell>
          <cell r="AF54" t="str">
            <v>BACHILLERATO</v>
          </cell>
          <cell r="AG54" t="str">
            <v>(OMISION)</v>
          </cell>
          <cell r="AH54"/>
          <cell r="AI54"/>
          <cell r="AJ54" t="str">
            <v>santifragoso89@gmail.com</v>
          </cell>
          <cell r="AK54" t="str">
            <v>COSTO VARIABLE</v>
          </cell>
          <cell r="AL54" t="str">
            <v>AVIOR CAL</v>
          </cell>
          <cell r="AM54" t="str">
            <v>AV05 COLGATE EDOMX</v>
          </cell>
          <cell r="AN54"/>
          <cell r="AO54"/>
          <cell r="AP54" t="str">
            <v>10081193</v>
          </cell>
          <cell r="AR54" t="str">
            <v>Sindicalizado</v>
          </cell>
        </row>
        <row r="55">
          <cell r="A55" t="str">
            <v>51362</v>
          </cell>
          <cell r="B55" t="str">
            <v>CORTES VERGARA ADRIAN</v>
          </cell>
          <cell r="C55" t="str">
            <v>MONTACARGUISTA</v>
          </cell>
          <cell r="D55" t="str">
            <v>PLANEACION Y LOGISTICA</v>
          </cell>
          <cell r="E55" t="str">
            <v>AV01020201 COLGATE MEX ALMACENAJE</v>
          </cell>
          <cell r="F55" t="str">
            <v>18/01/2024</v>
          </cell>
          <cell r="G55" t="str">
            <v>24/01/2024</v>
          </cell>
          <cell r="H55" t="str">
            <v>BAJA</v>
          </cell>
          <cell r="I55" t="str">
            <v>ABANDONO DE EMPLEO</v>
          </cell>
          <cell r="J55">
            <v>292</v>
          </cell>
          <cell r="K55">
            <v>311.63</v>
          </cell>
          <cell r="L55" t="str">
            <v>SEM05</v>
          </cell>
          <cell r="M55" t="str">
            <v>5 SINDICALIZADO - TULTITLAN</v>
          </cell>
          <cell r="N55" t="str">
            <v>02/05/1999</v>
          </cell>
          <cell r="O55" t="str">
            <v>COVA990505JX8</v>
          </cell>
          <cell r="P55" t="str">
            <v>COVA990502HMCRRD08</v>
          </cell>
          <cell r="Q55" t="str">
            <v>07169962631</v>
          </cell>
          <cell r="R55" t="str">
            <v>PASEO FELIX CANDELA MZ 15</v>
          </cell>
          <cell r="S55" t="str">
            <v>LT 71 A</v>
          </cell>
          <cell r="T55"/>
          <cell r="U55" t="str">
            <v>FRACC PARQUE SAN MATEO</v>
          </cell>
          <cell r="V55"/>
          <cell r="W55" t="str">
            <v>MEXICO</v>
          </cell>
          <cell r="X55">
            <v>54830</v>
          </cell>
          <cell r="Y55" t="str">
            <v>7298876816</v>
          </cell>
          <cell r="Z55"/>
          <cell r="AA55" t="str">
            <v>H</v>
          </cell>
          <cell r="AB55" t="str">
            <v>56816883858</v>
          </cell>
          <cell r="AC55" t="str">
            <v>PERMANENTE</v>
          </cell>
          <cell r="AD55" t="str">
            <v>MEXICO</v>
          </cell>
          <cell r="AE55" t="str">
            <v>UNION LIBRE</v>
          </cell>
          <cell r="AF55" t="str">
            <v>BACHILLERATO</v>
          </cell>
          <cell r="AG55" t="str">
            <v>(OMISION)</v>
          </cell>
          <cell r="AH55"/>
          <cell r="AI55"/>
          <cell r="AJ55" t="str">
            <v>a300282@gmail.com</v>
          </cell>
          <cell r="AK55" t="str">
            <v>COSTO VARIABLE</v>
          </cell>
          <cell r="AL55" t="str">
            <v>AVIOR CAL</v>
          </cell>
          <cell r="AM55" t="str">
            <v>AV05 COLGATE EDOMX</v>
          </cell>
          <cell r="AN55"/>
          <cell r="AO55"/>
          <cell r="AP55" t="str">
            <v>10081239</v>
          </cell>
          <cell r="AR55" t="str">
            <v>Sindicalizado</v>
          </cell>
        </row>
        <row r="56">
          <cell r="A56" t="str">
            <v>51363</v>
          </cell>
          <cell r="B56" t="str">
            <v>ALCANTAR REYES JUAN JOEL</v>
          </cell>
          <cell r="C56" t="str">
            <v>CONTADOR CICLICO</v>
          </cell>
          <cell r="D56" t="str">
            <v>PLANEACION Y LOGISTICA</v>
          </cell>
          <cell r="E56" t="str">
            <v>AV01020201 COLGATE MEX ALMACENAJE</v>
          </cell>
          <cell r="F56" t="str">
            <v>23/01/2024</v>
          </cell>
          <cell r="G56"/>
          <cell r="H56" t="str">
            <v>ALTA</v>
          </cell>
          <cell r="I56" t="str">
            <v>CONTRATACION</v>
          </cell>
          <cell r="J56">
            <v>268.39</v>
          </cell>
          <cell r="K56">
            <v>282.32</v>
          </cell>
          <cell r="L56" t="str">
            <v>SEM05</v>
          </cell>
          <cell r="M56" t="str">
            <v>5 CONFIANZA - TULTITLAN</v>
          </cell>
          <cell r="N56" t="str">
            <v>27/05/2000</v>
          </cell>
          <cell r="O56" t="str">
            <v>AARJ000527548</v>
          </cell>
          <cell r="P56" t="str">
            <v>AARJ000527HMNLYNA7</v>
          </cell>
          <cell r="Q56" t="str">
            <v>10190025287</v>
          </cell>
          <cell r="R56" t="str">
            <v>AV SANTA MARIA SN</v>
          </cell>
          <cell r="S56" t="str">
            <v>SN 4</v>
          </cell>
          <cell r="T56"/>
          <cell r="U56" t="str">
            <v>RANCHO SAN BLAS</v>
          </cell>
          <cell r="V56"/>
          <cell r="W56" t="str">
            <v>MEXICO</v>
          </cell>
          <cell r="X56">
            <v>54870</v>
          </cell>
          <cell r="Y56" t="str">
            <v>5619167813</v>
          </cell>
          <cell r="Z56"/>
          <cell r="AA56" t="str">
            <v>H</v>
          </cell>
          <cell r="AB56" t="str">
            <v>56883845669</v>
          </cell>
          <cell r="AC56" t="str">
            <v>PERMANENTE</v>
          </cell>
          <cell r="AD56" t="str">
            <v>MICHOACAN</v>
          </cell>
          <cell r="AE56" t="str">
            <v>SOLTERO(A)</v>
          </cell>
          <cell r="AF56" t="str">
            <v>BACHILLERATO</v>
          </cell>
          <cell r="AG56" t="str">
            <v>(OMISION)</v>
          </cell>
          <cell r="AH56"/>
          <cell r="AI56"/>
          <cell r="AJ56" t="str">
            <v>zhent879@gmail.com</v>
          </cell>
          <cell r="AK56" t="str">
            <v>COSTO VARIABLE</v>
          </cell>
          <cell r="AL56" t="str">
            <v>AVIOR CAL</v>
          </cell>
          <cell r="AM56" t="str">
            <v>AV05 COLGATE EDOMX</v>
          </cell>
          <cell r="AN56"/>
          <cell r="AO56"/>
          <cell r="AP56" t="str">
            <v>10081407</v>
          </cell>
          <cell r="AR56" t="str">
            <v>Aministrativo</v>
          </cell>
        </row>
        <row r="57">
          <cell r="A57" t="str">
            <v>51364</v>
          </cell>
          <cell r="B57" t="str">
            <v>ESTRADA GONZALEZ JESUS GUADALUPE</v>
          </cell>
          <cell r="C57" t="str">
            <v>MONTACARGUISTA</v>
          </cell>
          <cell r="D57" t="str">
            <v>PLANEACION Y LOGISTICA</v>
          </cell>
          <cell r="E57" t="str">
            <v>AV01020201 COLGATE MEX ALMACENAJE</v>
          </cell>
          <cell r="F57" t="str">
            <v>25/01/2024</v>
          </cell>
          <cell r="G57"/>
          <cell r="H57" t="str">
            <v>ALTA</v>
          </cell>
          <cell r="I57" t="str">
            <v>CONTRATACION</v>
          </cell>
          <cell r="J57">
            <v>292</v>
          </cell>
          <cell r="K57">
            <v>311.63</v>
          </cell>
          <cell r="L57" t="str">
            <v>SEM05</v>
          </cell>
          <cell r="M57" t="str">
            <v>5 SINDICALIZADO - TULTITLAN</v>
          </cell>
          <cell r="N57" t="str">
            <v>12/12/1996</v>
          </cell>
          <cell r="O57" t="str">
            <v>EAGJ9612124S3</v>
          </cell>
          <cell r="P57" t="str">
            <v>EAGJ961212HDFSNS00</v>
          </cell>
          <cell r="Q57" t="str">
            <v>08179616373</v>
          </cell>
          <cell r="R57" t="str">
            <v>SEGUNDA CERRADA DE ENCINO L3</v>
          </cell>
          <cell r="S57" t="str">
            <v>SN</v>
          </cell>
          <cell r="T57"/>
          <cell r="U57" t="str">
            <v>SAN CRISTOBAL CENTRO</v>
          </cell>
          <cell r="V57"/>
          <cell r="W57" t="str">
            <v>MEXICO</v>
          </cell>
          <cell r="X57">
            <v>55000</v>
          </cell>
          <cell r="Y57" t="str">
            <v>5621571124</v>
          </cell>
          <cell r="Z57"/>
          <cell r="AA57" t="str">
            <v>H</v>
          </cell>
          <cell r="AB57" t="str">
            <v>56884154909</v>
          </cell>
          <cell r="AC57" t="str">
            <v>PERMANENTE</v>
          </cell>
          <cell r="AD57" t="str">
            <v>DISTRITO FEDERAL</v>
          </cell>
          <cell r="AE57" t="str">
            <v>UNION LIBRE</v>
          </cell>
          <cell r="AF57" t="str">
            <v>BACHILLERATO</v>
          </cell>
          <cell r="AG57" t="str">
            <v>(OMISION)</v>
          </cell>
          <cell r="AH57"/>
          <cell r="AI57"/>
          <cell r="AJ57" t="str">
            <v>egael7652@gmail.com</v>
          </cell>
          <cell r="AK57" t="str">
            <v>COSTO VARIABLE</v>
          </cell>
          <cell r="AL57" t="str">
            <v>AVIOR CAL</v>
          </cell>
          <cell r="AM57" t="str">
            <v>AV05 COLGATE EDOMX</v>
          </cell>
          <cell r="AN57"/>
          <cell r="AO57"/>
          <cell r="AP57" t="str">
            <v>10081495</v>
          </cell>
          <cell r="AR57" t="str">
            <v>Sindicalizado</v>
          </cell>
        </row>
        <row r="58">
          <cell r="A58" t="str">
            <v>51365</v>
          </cell>
          <cell r="B58" t="str">
            <v>HERNANDEZ LUNA CHRISTIAN</v>
          </cell>
          <cell r="C58" t="str">
            <v>AYUDANTE GENERAL</v>
          </cell>
          <cell r="D58" t="str">
            <v>PLANEACION Y LOGISTICA</v>
          </cell>
          <cell r="E58" t="str">
            <v>AV01020201 COLGATE MEX ALMACENAJE</v>
          </cell>
          <cell r="F58" t="str">
            <v>25/01/2024</v>
          </cell>
          <cell r="G58"/>
          <cell r="H58" t="str">
            <v>ALTA</v>
          </cell>
          <cell r="I58" t="str">
            <v>CONTRATACION</v>
          </cell>
          <cell r="J58">
            <v>248.93</v>
          </cell>
          <cell r="K58">
            <v>265.66000000000003</v>
          </cell>
          <cell r="L58" t="str">
            <v>SEM05</v>
          </cell>
          <cell r="M58" t="str">
            <v>5 SINDICALIZADO - TULTITLAN</v>
          </cell>
          <cell r="N58" t="str">
            <v>24/07/1994</v>
          </cell>
          <cell r="O58" t="str">
            <v>HELC940724BQ4</v>
          </cell>
          <cell r="P58" t="str">
            <v>HELC940724HMCRNH04</v>
          </cell>
          <cell r="Q58" t="str">
            <v>92129439169</v>
          </cell>
          <cell r="R58" t="str">
            <v>IGNACIO RAMIREZ 20</v>
          </cell>
          <cell r="S58"/>
          <cell r="T58"/>
          <cell r="U58" t="str">
            <v>BARR EL CARMEN</v>
          </cell>
          <cell r="V58"/>
          <cell r="W58" t="str">
            <v>MEXICO</v>
          </cell>
          <cell r="X58">
            <v>54960</v>
          </cell>
          <cell r="Y58" t="str">
            <v>5537023534</v>
          </cell>
          <cell r="Z58"/>
          <cell r="AA58" t="str">
            <v>H</v>
          </cell>
          <cell r="AB58" t="str">
            <v>56855480936</v>
          </cell>
          <cell r="AC58" t="str">
            <v>PERMANENTE</v>
          </cell>
          <cell r="AD58" t="str">
            <v>MEXICO</v>
          </cell>
          <cell r="AE58" t="str">
            <v>SOLTERO(A)</v>
          </cell>
          <cell r="AF58" t="str">
            <v>SECUNDARIA</v>
          </cell>
          <cell r="AG58" t="str">
            <v>(OMISION)</v>
          </cell>
          <cell r="AH58"/>
          <cell r="AI58"/>
          <cell r="AJ58" t="str">
            <v>chistian58920383luna@gmail.com</v>
          </cell>
          <cell r="AK58" t="str">
            <v>COSTO VARIABLE</v>
          </cell>
          <cell r="AL58" t="str">
            <v>AVIOR CAL</v>
          </cell>
          <cell r="AM58" t="str">
            <v>AV05 COLGATE EDOMX</v>
          </cell>
          <cell r="AN58"/>
          <cell r="AO58"/>
          <cell r="AP58" t="str">
            <v>10081489</v>
          </cell>
          <cell r="AR58" t="str">
            <v>Sindicalizado</v>
          </cell>
        </row>
        <row r="59">
          <cell r="A59" t="str">
            <v>51366</v>
          </cell>
          <cell r="B59" t="str">
            <v>VAZQUEZ ESPARZA JUAN CARLOS</v>
          </cell>
          <cell r="C59" t="str">
            <v>AYUDANTE GENERAL</v>
          </cell>
          <cell r="D59" t="str">
            <v>PLANEACION Y LOGISTICA</v>
          </cell>
          <cell r="E59" t="str">
            <v>AV01020201 COLGATE MEX ALMACENAJE</v>
          </cell>
          <cell r="F59" t="str">
            <v>26/01/2024</v>
          </cell>
          <cell r="G59"/>
          <cell r="H59" t="str">
            <v>ALTA</v>
          </cell>
          <cell r="I59" t="str">
            <v>CONTRATACION</v>
          </cell>
          <cell r="J59">
            <v>248.93</v>
          </cell>
          <cell r="K59">
            <v>265.66000000000003</v>
          </cell>
          <cell r="L59" t="str">
            <v>SEM05</v>
          </cell>
          <cell r="M59" t="str">
            <v>5 SINDICALIZADO - TULTITLAN</v>
          </cell>
          <cell r="N59" t="str">
            <v>26/07/1992</v>
          </cell>
          <cell r="O59" t="str">
            <v>VAEJ9207266B7</v>
          </cell>
          <cell r="P59" t="str">
            <v>VAEJ920726HMCZSN05</v>
          </cell>
          <cell r="Q59" t="str">
            <v>92099217272</v>
          </cell>
          <cell r="R59" t="str">
            <v>SOFIA BASSI</v>
          </cell>
          <cell r="S59" t="str">
            <v>COND 6 CASA 36</v>
          </cell>
          <cell r="T59"/>
          <cell r="U59" t="str">
            <v>JARDINES DE LOS CLAUSTROS VI</v>
          </cell>
          <cell r="V59"/>
          <cell r="W59" t="str">
            <v>MEXICO</v>
          </cell>
          <cell r="X59">
            <v>54929</v>
          </cell>
          <cell r="Y59" t="str">
            <v>5534392255</v>
          </cell>
          <cell r="Z59"/>
          <cell r="AA59" t="str">
            <v>H</v>
          </cell>
          <cell r="AB59" t="str">
            <v>56884180005</v>
          </cell>
          <cell r="AC59" t="str">
            <v>PERMANENTE</v>
          </cell>
          <cell r="AD59" t="str">
            <v>MEXICO</v>
          </cell>
          <cell r="AE59" t="str">
            <v>UNION LIBRE</v>
          </cell>
          <cell r="AF59" t="str">
            <v>SECUNDARIA</v>
          </cell>
          <cell r="AG59" t="str">
            <v>(OMISION)</v>
          </cell>
          <cell r="AH59"/>
          <cell r="AI59"/>
          <cell r="AJ59" t="str">
            <v>gasave230605@gmail.com</v>
          </cell>
          <cell r="AK59" t="str">
            <v>COSTO VARIABLE</v>
          </cell>
          <cell r="AL59" t="str">
            <v>AVIOR CAL</v>
          </cell>
          <cell r="AM59" t="str">
            <v>AV05 COLGATE EDOMX</v>
          </cell>
          <cell r="AN59"/>
          <cell r="AO59"/>
          <cell r="AP59" t="str">
            <v>10081511</v>
          </cell>
          <cell r="AR59" t="str">
            <v>Sindicalizado</v>
          </cell>
        </row>
        <row r="60">
          <cell r="A60" t="str">
            <v>51367</v>
          </cell>
          <cell r="B60" t="str">
            <v>CHRISTY VEGA JEREMY UZIEL</v>
          </cell>
          <cell r="C60" t="str">
            <v>AUXILIAR DE VERIFICACION</v>
          </cell>
          <cell r="D60" t="str">
            <v>PLANEACION Y LOGISTICA</v>
          </cell>
          <cell r="E60" t="str">
            <v>AV01020201 COLGATE MEX ALMACENAJE</v>
          </cell>
          <cell r="F60" t="str">
            <v>02/02/2024</v>
          </cell>
          <cell r="G60"/>
          <cell r="H60" t="str">
            <v>ALTA</v>
          </cell>
          <cell r="I60" t="str">
            <v>CONTRATACION</v>
          </cell>
          <cell r="J60">
            <v>268.39</v>
          </cell>
          <cell r="K60">
            <v>282.32</v>
          </cell>
          <cell r="L60" t="str">
            <v>SEM05</v>
          </cell>
          <cell r="M60" t="str">
            <v>5 CONFIANZA - TULTITLAN</v>
          </cell>
          <cell r="N60" t="str">
            <v>30/05/2001</v>
          </cell>
          <cell r="O60" t="str">
            <v>CIVJ010530RV7</v>
          </cell>
          <cell r="P60" t="str">
            <v>CIVJ010530HHGHGRA9</v>
          </cell>
          <cell r="Q60" t="str">
            <v>58170157869</v>
          </cell>
          <cell r="R60" t="str">
            <v>B DE COLORINES MZ 18</v>
          </cell>
          <cell r="S60" t="str">
            <v>LT 1 VIV 48</v>
          </cell>
          <cell r="T60"/>
          <cell r="U60" t="str">
            <v>HACIENDA DEL BOSQUE</v>
          </cell>
          <cell r="V60"/>
          <cell r="W60" t="str">
            <v>MEXICO</v>
          </cell>
          <cell r="X60">
            <v>55743</v>
          </cell>
          <cell r="Y60" t="str">
            <v>5528476880</v>
          </cell>
          <cell r="Z60"/>
          <cell r="AA60" t="str">
            <v>H</v>
          </cell>
          <cell r="AB60" t="str">
            <v>56884720565</v>
          </cell>
          <cell r="AC60" t="str">
            <v>PERMANENTE</v>
          </cell>
          <cell r="AD60" t="str">
            <v>HIDALGO</v>
          </cell>
          <cell r="AE60" t="str">
            <v>SOLTERO(A)</v>
          </cell>
          <cell r="AF60" t="str">
            <v>BACHILLERATO</v>
          </cell>
          <cell r="AG60" t="str">
            <v>(OMISION)</v>
          </cell>
          <cell r="AH60"/>
          <cell r="AI60"/>
          <cell r="AJ60" t="str">
            <v>uzielveg@gmail.com</v>
          </cell>
          <cell r="AK60" t="str">
            <v>COSTO VARIABLE</v>
          </cell>
          <cell r="AL60" t="str">
            <v>AVIOR CAL</v>
          </cell>
          <cell r="AM60" t="str">
            <v>AV05 COLGATE EDOMX</v>
          </cell>
          <cell r="AN60"/>
          <cell r="AO60"/>
          <cell r="AP60" t="str">
            <v>10081725</v>
          </cell>
          <cell r="AR60" t="str">
            <v>Aministrativo</v>
          </cell>
        </row>
        <row r="61">
          <cell r="A61" t="str">
            <v>61408</v>
          </cell>
          <cell r="B61" t="str">
            <v>ESCOBAR VIGUERAS VERONICA</v>
          </cell>
          <cell r="C61" t="str">
            <v>ENFERMERO</v>
          </cell>
          <cell r="D61" t="str">
            <v>SALUD OCUPACIONAL</v>
          </cell>
          <cell r="E61" t="str">
            <v>AV01020491 SODIMAC CAP HUM</v>
          </cell>
          <cell r="F61" t="str">
            <v>04/01/2024</v>
          </cell>
          <cell r="G61"/>
          <cell r="H61" t="str">
            <v>ALTA</v>
          </cell>
          <cell r="I61" t="str">
            <v>CONTRATACION</v>
          </cell>
          <cell r="J61">
            <v>420</v>
          </cell>
          <cell r="K61">
            <v>440.66</v>
          </cell>
          <cell r="L61" t="str">
            <v>SEM06</v>
          </cell>
          <cell r="M61" t="str">
            <v>6 CONFIANZA - TULTITLAN</v>
          </cell>
          <cell r="N61" t="str">
            <v>22/01/1973</v>
          </cell>
          <cell r="O61" t="str">
            <v>EOVV7301229Q7</v>
          </cell>
          <cell r="P61" t="str">
            <v>EOVV730122MMCSGR00</v>
          </cell>
          <cell r="Q61" t="str">
            <v>92897322449</v>
          </cell>
          <cell r="R61" t="str">
            <v>CDA LADERA 3</v>
          </cell>
          <cell r="S61"/>
          <cell r="T61"/>
          <cell r="U61" t="str">
            <v>LOMAS DE GUADALUPE</v>
          </cell>
          <cell r="V61"/>
          <cell r="W61" t="str">
            <v>MEXICO</v>
          </cell>
          <cell r="X61">
            <v>52985</v>
          </cell>
          <cell r="Y61" t="str">
            <v>5575158594</v>
          </cell>
          <cell r="Z61"/>
          <cell r="AA61" t="str">
            <v>M</v>
          </cell>
          <cell r="AB61" t="str">
            <v>56882295490</v>
          </cell>
          <cell r="AC61" t="str">
            <v>PERMANENTE</v>
          </cell>
          <cell r="AD61" t="str">
            <v>DISTRITO FEDERAL</v>
          </cell>
          <cell r="AE61" t="str">
            <v>SOLTERO(A)</v>
          </cell>
          <cell r="AF61" t="str">
            <v>PROFESIONAL</v>
          </cell>
          <cell r="AG61" t="str">
            <v>(OMISION)</v>
          </cell>
          <cell r="AH61"/>
          <cell r="AI61"/>
          <cell r="AJ61" t="str">
            <v>veronicaevigueras@gmail.com</v>
          </cell>
          <cell r="AK61" t="str">
            <v>COSTO VARIABLE</v>
          </cell>
          <cell r="AL61" t="str">
            <v>AVIOR CAL</v>
          </cell>
          <cell r="AM61" t="str">
            <v>AV06 SODIMAC HC EDOMX</v>
          </cell>
          <cell r="AN61"/>
          <cell r="AO61"/>
          <cell r="AP61" t="str">
            <v>10080553</v>
          </cell>
          <cell r="AR61" t="str">
            <v>Aministrativo</v>
          </cell>
        </row>
        <row r="62">
          <cell r="A62" t="str">
            <v>61409</v>
          </cell>
          <cell r="B62" t="str">
            <v>COYOLE GARCIA MARIA NAZARETH</v>
          </cell>
          <cell r="C62" t="str">
            <v>ANALISTA DE SEGURIDAD E HIGIENE</v>
          </cell>
          <cell r="D62" t="str">
            <v>SEGURIDAD E HIGIENE</v>
          </cell>
          <cell r="E62" t="str">
            <v>AV01020401 SODIMAC ALMACENAJE</v>
          </cell>
          <cell r="F62" t="str">
            <v>10/01/2024</v>
          </cell>
          <cell r="G62"/>
          <cell r="H62" t="str">
            <v>ALTA</v>
          </cell>
          <cell r="I62" t="str">
            <v>CONTRATACION</v>
          </cell>
          <cell r="J62">
            <v>466.67</v>
          </cell>
          <cell r="K62">
            <v>489.62</v>
          </cell>
          <cell r="L62" t="str">
            <v>SEM06</v>
          </cell>
          <cell r="M62" t="str">
            <v>6 CONFIANZA - TULTITLAN</v>
          </cell>
          <cell r="N62" t="str">
            <v>12/12/2001</v>
          </cell>
          <cell r="O62" t="str">
            <v>COGN011212KG7</v>
          </cell>
          <cell r="P62" t="str">
            <v>COGN011212MMCYRZA6</v>
          </cell>
          <cell r="Q62" t="str">
            <v>08130166823</v>
          </cell>
          <cell r="R62" t="str">
            <v>ALVARO OBREGON MZA 6 LT 47</v>
          </cell>
          <cell r="S62"/>
          <cell r="T62"/>
          <cell r="U62" t="str">
            <v>FRANCISCO VILLA</v>
          </cell>
          <cell r="V62"/>
          <cell r="W62" t="str">
            <v>MEXICO</v>
          </cell>
          <cell r="X62">
            <v>54743</v>
          </cell>
          <cell r="Y62" t="str">
            <v>5512114526</v>
          </cell>
          <cell r="Z62"/>
          <cell r="AA62" t="str">
            <v>M</v>
          </cell>
          <cell r="AB62" t="str">
            <v>56882541792</v>
          </cell>
          <cell r="AC62" t="str">
            <v>PERMANENTE</v>
          </cell>
          <cell r="AD62" t="str">
            <v>MEXICO</v>
          </cell>
          <cell r="AE62" t="str">
            <v>SOLTERO(A)</v>
          </cell>
          <cell r="AF62" t="str">
            <v>PROFESIONAL</v>
          </cell>
          <cell r="AG62" t="str">
            <v>(OMISION)</v>
          </cell>
          <cell r="AH62"/>
          <cell r="AI62"/>
          <cell r="AJ62" t="str">
            <v>marycoyole907@gmail.com</v>
          </cell>
          <cell r="AK62" t="str">
            <v>COSTO VARIABLE</v>
          </cell>
          <cell r="AL62" t="str">
            <v>AVIOR CAL</v>
          </cell>
          <cell r="AM62" t="str">
            <v>AV06 SODIMAC HC EDOMX</v>
          </cell>
          <cell r="AN62"/>
          <cell r="AO62"/>
          <cell r="AP62" t="str">
            <v>10080768</v>
          </cell>
          <cell r="AR62" t="str">
            <v>Aministrativo</v>
          </cell>
        </row>
        <row r="63">
          <cell r="A63" t="str">
            <v>61410</v>
          </cell>
          <cell r="B63" t="str">
            <v>ISLEÑO JIMENEZ JOEL</v>
          </cell>
          <cell r="C63" t="str">
            <v>AUXILIAR DE VERIFICACION</v>
          </cell>
          <cell r="D63" t="str">
            <v>PLANEACION Y LOGISTICA</v>
          </cell>
          <cell r="E63" t="str">
            <v>AV01020401 SODIMAC ALMACENAJE</v>
          </cell>
          <cell r="F63" t="str">
            <v>15/01/2024</v>
          </cell>
          <cell r="G63"/>
          <cell r="H63" t="str">
            <v>ALTA</v>
          </cell>
          <cell r="I63" t="str">
            <v>CONTRATACION</v>
          </cell>
          <cell r="J63">
            <v>278.76</v>
          </cell>
          <cell r="K63">
            <v>292.47000000000003</v>
          </cell>
          <cell r="L63" t="str">
            <v>SEM06</v>
          </cell>
          <cell r="M63" t="str">
            <v>6 SINDICALIZADO - TULTITLAN</v>
          </cell>
          <cell r="N63" t="str">
            <v>11/02/1993</v>
          </cell>
          <cell r="O63" t="str">
            <v>IEJJ9302113Q0</v>
          </cell>
          <cell r="P63" t="str">
            <v>IEJJ930211HVZSML01</v>
          </cell>
          <cell r="Q63" t="str">
            <v>25149328806</v>
          </cell>
          <cell r="R63" t="str">
            <v>ALCAZAR II 18</v>
          </cell>
          <cell r="S63"/>
          <cell r="T63"/>
          <cell r="U63" t="str">
            <v>FRACC ALCAZAR</v>
          </cell>
          <cell r="V63"/>
          <cell r="W63" t="str">
            <v>MEXICO</v>
          </cell>
          <cell r="X63">
            <v>54938</v>
          </cell>
          <cell r="Y63" t="str">
            <v>5530771477</v>
          </cell>
          <cell r="Z63"/>
          <cell r="AA63" t="str">
            <v>H</v>
          </cell>
          <cell r="AB63" t="str">
            <v>56882963397</v>
          </cell>
          <cell r="AC63" t="str">
            <v>PERMANENTE</v>
          </cell>
          <cell r="AD63" t="str">
            <v>VERACRUZ</v>
          </cell>
          <cell r="AE63" t="str">
            <v>SOLTERO(A)</v>
          </cell>
          <cell r="AF63" t="str">
            <v>PROFESIONAL</v>
          </cell>
          <cell r="AG63" t="str">
            <v>(OMISION)</v>
          </cell>
          <cell r="AH63"/>
          <cell r="AI63"/>
          <cell r="AJ63" t="str">
            <v>joelislej83.394@gmail.com</v>
          </cell>
          <cell r="AK63" t="str">
            <v>COSTO VARIABLE</v>
          </cell>
          <cell r="AL63" t="str">
            <v>AVIOR CAL</v>
          </cell>
          <cell r="AM63" t="str">
            <v>AV06 SODIMAC HC EDOMX</v>
          </cell>
          <cell r="AN63"/>
          <cell r="AO63"/>
          <cell r="AP63" t="str">
            <v>10081073</v>
          </cell>
          <cell r="AR63" t="str">
            <v>Sindicalizado</v>
          </cell>
        </row>
        <row r="64">
          <cell r="A64" t="str">
            <v>61411</v>
          </cell>
          <cell r="B64" t="str">
            <v>FRAGOSO SALINAS HECTOR ANDRES</v>
          </cell>
          <cell r="C64" t="str">
            <v>AUXILIAR DE OPERACIONES</v>
          </cell>
          <cell r="D64" t="str">
            <v>OPERACIONES</v>
          </cell>
          <cell r="E64" t="str">
            <v>AV01020401 SODIMAC ALMACENAJE</v>
          </cell>
          <cell r="F64" t="str">
            <v>29/01/2024</v>
          </cell>
          <cell r="G64"/>
          <cell r="H64" t="str">
            <v>REINGRESO</v>
          </cell>
          <cell r="I64" t="str">
            <v>RECONTRATACION</v>
          </cell>
          <cell r="J64">
            <v>248.93</v>
          </cell>
          <cell r="K64">
            <v>261.17</v>
          </cell>
          <cell r="L64" t="str">
            <v>SEM06</v>
          </cell>
          <cell r="M64" t="str">
            <v>6 SINDICALIZADO - TULTITLAN</v>
          </cell>
          <cell r="N64" t="str">
            <v>24/10/1991</v>
          </cell>
          <cell r="O64" t="str">
            <v>FASH911024GT0</v>
          </cell>
          <cell r="P64" t="str">
            <v>FASH911024HDFRLC07</v>
          </cell>
          <cell r="Q64" t="str">
            <v>94109106107</v>
          </cell>
          <cell r="R64" t="str">
            <v>CTO TOSHIBA 40</v>
          </cell>
          <cell r="S64"/>
          <cell r="T64"/>
          <cell r="U64" t="str">
            <v>U HAB JARDINES DE LOS BAEZ</v>
          </cell>
          <cell r="V64"/>
          <cell r="W64" t="str">
            <v>MEXICO</v>
          </cell>
          <cell r="X64">
            <v>55055</v>
          </cell>
          <cell r="Y64" t="str">
            <v>5533745563</v>
          </cell>
          <cell r="Z64"/>
          <cell r="AA64" t="str">
            <v>H</v>
          </cell>
          <cell r="AB64" t="str">
            <v>56866161990</v>
          </cell>
          <cell r="AC64" t="str">
            <v>PERMANENTE</v>
          </cell>
          <cell r="AD64" t="str">
            <v>DISTRITO FEDERAL</v>
          </cell>
          <cell r="AE64" t="str">
            <v>SOLTERO(A)</v>
          </cell>
          <cell r="AF64" t="str">
            <v>SECUNDARIA</v>
          </cell>
          <cell r="AG64" t="str">
            <v>(OMISION)</v>
          </cell>
          <cell r="AH64"/>
          <cell r="AI64"/>
          <cell r="AJ64" t="str">
            <v>andre_23_12_@hotmail.com</v>
          </cell>
          <cell r="AK64" t="str">
            <v>COSTO VARIABLE</v>
          </cell>
          <cell r="AL64" t="str">
            <v>AVIOR CAL</v>
          </cell>
          <cell r="AM64" t="str">
            <v>AV06 SODIMAC HC EDOMX</v>
          </cell>
          <cell r="AN64"/>
          <cell r="AO64"/>
          <cell r="AP64" t="str">
            <v>10067677</v>
          </cell>
          <cell r="AR64" t="str">
            <v>Sindicalizado</v>
          </cell>
        </row>
        <row r="65">
          <cell r="A65" t="str">
            <v>71151</v>
          </cell>
          <cell r="B65" t="str">
            <v>PEREZ JUAREZ ANTONIO</v>
          </cell>
          <cell r="C65" t="str">
            <v>AUXILIAR DE VERIFICACION</v>
          </cell>
          <cell r="D65" t="str">
            <v>PLANEACION Y LOGISTICA</v>
          </cell>
          <cell r="E65" t="str">
            <v>AV01020301 JUMEX ALMACENAJE</v>
          </cell>
          <cell r="F65" t="str">
            <v>04/01/2024</v>
          </cell>
          <cell r="G65" t="str">
            <v>18/01/2024</v>
          </cell>
          <cell r="H65" t="str">
            <v>BAJA</v>
          </cell>
          <cell r="I65" t="str">
            <v>ABANDONO DE EMPLEO</v>
          </cell>
          <cell r="J65">
            <v>267.12</v>
          </cell>
          <cell r="K65">
            <v>280.26</v>
          </cell>
          <cell r="L65" t="str">
            <v>SEM07</v>
          </cell>
          <cell r="M65" t="str">
            <v>7 CONFIANZA - CUAUTITLAN</v>
          </cell>
          <cell r="N65" t="str">
            <v>18/04/1998</v>
          </cell>
          <cell r="O65" t="str">
            <v>PEJA9804182A9</v>
          </cell>
          <cell r="P65" t="str">
            <v>PEJA980418HDFRRN06</v>
          </cell>
          <cell r="Q65" t="str">
            <v>11169830004</v>
          </cell>
          <cell r="R65" t="str">
            <v>CDA JACARANDAS 5</v>
          </cell>
          <cell r="S65"/>
          <cell r="T65"/>
          <cell r="U65" t="str">
            <v>LA LAGUNA</v>
          </cell>
          <cell r="V65"/>
          <cell r="W65" t="str">
            <v>MEXICO</v>
          </cell>
          <cell r="X65">
            <v>54840</v>
          </cell>
          <cell r="Y65" t="str">
            <v>5610223020</v>
          </cell>
          <cell r="Z65"/>
          <cell r="AA65" t="str">
            <v>H</v>
          </cell>
          <cell r="AB65" t="str">
            <v>56882340269</v>
          </cell>
          <cell r="AC65" t="str">
            <v>PERMANENTE</v>
          </cell>
          <cell r="AD65" t="str">
            <v>QUERETARO</v>
          </cell>
          <cell r="AE65" t="str">
            <v>SOLTERO(A)</v>
          </cell>
          <cell r="AF65" t="str">
            <v>BACHILLERATO</v>
          </cell>
          <cell r="AG65" t="str">
            <v>(OMISION)</v>
          </cell>
          <cell r="AH65"/>
          <cell r="AI65"/>
          <cell r="AJ65" t="str">
            <v>antoniopje8@gmail.com</v>
          </cell>
          <cell r="AK65" t="str">
            <v>COSTO VARIABLE</v>
          </cell>
          <cell r="AL65" t="str">
            <v>AVIOR CAL</v>
          </cell>
          <cell r="AM65" t="str">
            <v>AV07 JUMEX EDOMX</v>
          </cell>
          <cell r="AN65"/>
          <cell r="AO65"/>
          <cell r="AP65" t="str">
            <v>10080572</v>
          </cell>
          <cell r="AR65" t="str">
            <v>Aministrativo</v>
          </cell>
        </row>
        <row r="66">
          <cell r="A66" t="str">
            <v>71152</v>
          </cell>
          <cell r="B66" t="str">
            <v>MARTINEZ CASTRO JUAN</v>
          </cell>
          <cell r="C66" t="str">
            <v>AUXILIAR DE OPERACIONES</v>
          </cell>
          <cell r="D66" t="str">
            <v>OPERACIONES</v>
          </cell>
          <cell r="E66" t="str">
            <v>AV01020301 JUMEX ALMACENAJE</v>
          </cell>
          <cell r="F66" t="str">
            <v>08/01/2024</v>
          </cell>
          <cell r="G66" t="str">
            <v>18/01/2024</v>
          </cell>
          <cell r="H66" t="str">
            <v>BAJA</v>
          </cell>
          <cell r="I66" t="str">
            <v>ABANDONO DE EMPLEO</v>
          </cell>
          <cell r="J66">
            <v>249.77</v>
          </cell>
          <cell r="K66">
            <v>262.05</v>
          </cell>
          <cell r="L66" t="str">
            <v>SEM07</v>
          </cell>
          <cell r="M66" t="str">
            <v>7 SINDICALIZADO - CUAUTITLAN</v>
          </cell>
          <cell r="N66" t="str">
            <v>08/03/1993</v>
          </cell>
          <cell r="O66" t="str">
            <v>MACJ930308C80</v>
          </cell>
          <cell r="P66" t="str">
            <v>MACJ930308HDFRSN05</v>
          </cell>
          <cell r="Q66" t="str">
            <v>92119300967</v>
          </cell>
          <cell r="R66" t="str">
            <v>AV DEL TRABAJO</v>
          </cell>
          <cell r="S66" t="str">
            <v>3</v>
          </cell>
          <cell r="T66"/>
          <cell r="U66" t="str">
            <v>PBLO SANTA MARIA HUECATITLTA</v>
          </cell>
          <cell r="V66"/>
          <cell r="W66" t="str">
            <v>MEXICO</v>
          </cell>
          <cell r="X66">
            <v>54831</v>
          </cell>
          <cell r="Y66" t="str">
            <v>5576084694</v>
          </cell>
          <cell r="Z66"/>
          <cell r="AA66" t="str">
            <v>H</v>
          </cell>
          <cell r="AB66" t="str">
            <v>56882453073</v>
          </cell>
          <cell r="AC66" t="str">
            <v>PERMANENTE</v>
          </cell>
          <cell r="AD66" t="str">
            <v>QUERETARO</v>
          </cell>
          <cell r="AE66" t="str">
            <v>UNION LIBRE</v>
          </cell>
          <cell r="AF66" t="str">
            <v>SECUNDARIA</v>
          </cell>
          <cell r="AG66" t="str">
            <v>(OMISION)</v>
          </cell>
          <cell r="AH66"/>
          <cell r="AI66"/>
          <cell r="AJ66" t="str">
            <v>juancastromartinez1993@hotmail.com</v>
          </cell>
          <cell r="AK66" t="str">
            <v>COSTO VARIABLE</v>
          </cell>
          <cell r="AL66" t="str">
            <v>AVIOR CAL</v>
          </cell>
          <cell r="AM66" t="str">
            <v>AV07 JUMEX EDOMX</v>
          </cell>
          <cell r="AN66"/>
          <cell r="AO66"/>
          <cell r="AP66" t="str">
            <v>10080675</v>
          </cell>
          <cell r="AR66" t="str">
            <v>Sindicalizado</v>
          </cell>
        </row>
        <row r="67">
          <cell r="A67" t="str">
            <v>71153</v>
          </cell>
          <cell r="B67" t="str">
            <v>ALDANA VELAZQUEZ ANA ROSA</v>
          </cell>
          <cell r="C67" t="str">
            <v>AUXILIAR DE SERVICIOS GENERALES</v>
          </cell>
          <cell r="D67" t="str">
            <v>SERVICIOS GENERALES</v>
          </cell>
          <cell r="E67" t="str">
            <v>AV01020301 JUMEX ALMACENAJE</v>
          </cell>
          <cell r="F67" t="str">
            <v>09/01/2024</v>
          </cell>
          <cell r="G67" t="str">
            <v>11/01/2024</v>
          </cell>
          <cell r="H67" t="str">
            <v>BAJA</v>
          </cell>
          <cell r="I67" t="str">
            <v>ABANDONO DE EMPLEO</v>
          </cell>
          <cell r="J67">
            <v>248.93</v>
          </cell>
          <cell r="K67">
            <v>261.17</v>
          </cell>
          <cell r="L67" t="str">
            <v>SEM07</v>
          </cell>
          <cell r="M67" t="str">
            <v>7 SINDICALIZADO - CUAUTITLAN</v>
          </cell>
          <cell r="N67" t="str">
            <v>29/12/1986</v>
          </cell>
          <cell r="O67" t="str">
            <v>AAVA861229SJ0</v>
          </cell>
          <cell r="P67" t="str">
            <v>AAVA861229MMCLLN03</v>
          </cell>
          <cell r="Q67" t="str">
            <v>03178671826</v>
          </cell>
          <cell r="R67" t="str">
            <v>AV CHAPULTEPEC</v>
          </cell>
          <cell r="S67"/>
          <cell r="T67"/>
          <cell r="U67" t="str">
            <v>BARR CUAXOXOCA</v>
          </cell>
          <cell r="V67"/>
          <cell r="W67" t="str">
            <v>MEXICO</v>
          </cell>
          <cell r="X67">
            <v>54786</v>
          </cell>
          <cell r="Y67" t="str">
            <v>5537933192</v>
          </cell>
          <cell r="Z67"/>
          <cell r="AA67" t="str">
            <v>M</v>
          </cell>
          <cell r="AB67" t="str">
            <v>56882531370</v>
          </cell>
          <cell r="AC67" t="str">
            <v>PERMANENTE</v>
          </cell>
          <cell r="AD67" t="str">
            <v>QUERETARO</v>
          </cell>
          <cell r="AE67" t="str">
            <v>UNION LIBRE</v>
          </cell>
          <cell r="AF67" t="str">
            <v>SECUNDARIA</v>
          </cell>
          <cell r="AG67" t="str">
            <v>(OMISION)</v>
          </cell>
          <cell r="AH67"/>
          <cell r="AI67"/>
          <cell r="AJ67" t="str">
            <v>ana.rosa3192@hotmail.com</v>
          </cell>
          <cell r="AK67" t="str">
            <v>COSTO VARIABLE</v>
          </cell>
          <cell r="AL67" t="str">
            <v>AVIOR CAL</v>
          </cell>
          <cell r="AM67" t="str">
            <v>AV07 JUMEX EDOMX</v>
          </cell>
          <cell r="AN67"/>
          <cell r="AO67"/>
          <cell r="AP67" t="str">
            <v>10080749</v>
          </cell>
          <cell r="AR67" t="str">
            <v>Sindicalizado</v>
          </cell>
        </row>
        <row r="68">
          <cell r="A68" t="str">
            <v>71154</v>
          </cell>
          <cell r="B68" t="str">
            <v>ESTRADA LUCIO GUSTAVO</v>
          </cell>
          <cell r="C68" t="str">
            <v>AUXILIAR DE SERVICIOS GENERALES</v>
          </cell>
          <cell r="D68" t="str">
            <v>SERVICIOS GENERALES</v>
          </cell>
          <cell r="E68" t="str">
            <v>AV01020301 JUMEX ALMACENAJE</v>
          </cell>
          <cell r="F68" t="str">
            <v>09/01/2024</v>
          </cell>
          <cell r="G68"/>
          <cell r="H68" t="str">
            <v>ALTA</v>
          </cell>
          <cell r="I68" t="str">
            <v>CONTRATACION</v>
          </cell>
          <cell r="J68">
            <v>248.93</v>
          </cell>
          <cell r="K68">
            <v>261.17</v>
          </cell>
          <cell r="L68" t="str">
            <v>SEM07</v>
          </cell>
          <cell r="M68" t="str">
            <v>7 SINDICALIZADO - CUAUTITLAN</v>
          </cell>
          <cell r="N68" t="str">
            <v>20/03/1991</v>
          </cell>
          <cell r="O68" t="str">
            <v>EALG9103209P2</v>
          </cell>
          <cell r="P68" t="str">
            <v>EALG910320HMCSCS08</v>
          </cell>
          <cell r="Q68" t="str">
            <v>96099125484</v>
          </cell>
          <cell r="R68" t="str">
            <v>EMISOR PONIENTE</v>
          </cell>
          <cell r="S68" t="str">
            <v>10</v>
          </cell>
          <cell r="T68"/>
          <cell r="U68" t="str">
            <v>SANTA BARBARA</v>
          </cell>
          <cell r="V68"/>
          <cell r="W68" t="str">
            <v>MEXICO</v>
          </cell>
          <cell r="X68">
            <v>54713</v>
          </cell>
          <cell r="Y68" t="str">
            <v>5614584709</v>
          </cell>
          <cell r="Z68"/>
          <cell r="AA68" t="str">
            <v>H</v>
          </cell>
          <cell r="AB68" t="str">
            <v>56728314506</v>
          </cell>
          <cell r="AC68" t="str">
            <v>PERMANENTE</v>
          </cell>
          <cell r="AD68" t="str">
            <v>QUERETARO</v>
          </cell>
          <cell r="AE68" t="str">
            <v>SOLTERO(A)</v>
          </cell>
          <cell r="AF68" t="str">
            <v>BACHILLERATO</v>
          </cell>
          <cell r="AG68" t="str">
            <v>(OMISION)</v>
          </cell>
          <cell r="AH68"/>
          <cell r="AI68"/>
          <cell r="AJ68" t="str">
            <v>smalle16@hotmail.com</v>
          </cell>
          <cell r="AK68" t="str">
            <v>COSTO VARIABLE</v>
          </cell>
          <cell r="AL68" t="str">
            <v>AVIOR CAL</v>
          </cell>
          <cell r="AM68" t="str">
            <v>AV07 JUMEX EDOMX</v>
          </cell>
          <cell r="AN68"/>
          <cell r="AO68"/>
          <cell r="AP68" t="str">
            <v>10080755</v>
          </cell>
          <cell r="AR68" t="str">
            <v>Sindicalizado</v>
          </cell>
        </row>
        <row r="69">
          <cell r="A69" t="str">
            <v>71155</v>
          </cell>
          <cell r="B69" t="str">
            <v>VILLEGAS DE LA CRUZ JESUS MARTIN</v>
          </cell>
          <cell r="C69" t="str">
            <v>AUXILIAR DE SERVICIOS GENERALES</v>
          </cell>
          <cell r="D69" t="str">
            <v>SERVICIOS GENERALES</v>
          </cell>
          <cell r="E69" t="str">
            <v>AV01020301 JUMEX ALMACENAJE</v>
          </cell>
          <cell r="F69" t="str">
            <v>16/01/2024</v>
          </cell>
          <cell r="G69"/>
          <cell r="H69" t="str">
            <v>ALTA</v>
          </cell>
          <cell r="I69" t="str">
            <v>CONTRATACION</v>
          </cell>
          <cell r="J69">
            <v>248.93</v>
          </cell>
          <cell r="K69">
            <v>261.17</v>
          </cell>
          <cell r="L69" t="str">
            <v>SEM07</v>
          </cell>
          <cell r="M69" t="str">
            <v>7 SINDICALIZADO - CUAUTITLAN</v>
          </cell>
          <cell r="N69" t="str">
            <v>25/11/1989</v>
          </cell>
          <cell r="O69" t="str">
            <v>VICJ891125RA9</v>
          </cell>
          <cell r="P69" t="str">
            <v>VICJ891125HMCLRS08</v>
          </cell>
          <cell r="Q69" t="str">
            <v>63078927785</v>
          </cell>
          <cell r="R69" t="str">
            <v>PRIV COYOTEPEC MZ2 LT 30 A</v>
          </cell>
          <cell r="S69"/>
          <cell r="T69"/>
          <cell r="U69" t="str">
            <v>FRACC CASA NUEVA</v>
          </cell>
          <cell r="V69"/>
          <cell r="W69" t="str">
            <v>MEXICO</v>
          </cell>
          <cell r="X69">
            <v>54685</v>
          </cell>
          <cell r="Y69" t="str">
            <v>5633975020</v>
          </cell>
          <cell r="Z69"/>
          <cell r="AA69" t="str">
            <v>H</v>
          </cell>
          <cell r="AB69" t="str">
            <v>56831702591</v>
          </cell>
          <cell r="AC69" t="str">
            <v>PERMANENTE</v>
          </cell>
          <cell r="AD69" t="str">
            <v>QUERETARO</v>
          </cell>
          <cell r="AE69" t="str">
            <v>SOLTERO(A)</v>
          </cell>
          <cell r="AF69" t="str">
            <v>BACHILLERATO</v>
          </cell>
          <cell r="AG69" t="str">
            <v>(OMISION)</v>
          </cell>
          <cell r="AH69"/>
          <cell r="AI69"/>
          <cell r="AJ69" t="str">
            <v>jesusmart33@gmail.com</v>
          </cell>
          <cell r="AK69" t="str">
            <v>COSTO VARIABLE</v>
          </cell>
          <cell r="AL69" t="str">
            <v>AVIOR CAL</v>
          </cell>
          <cell r="AM69" t="str">
            <v>AV07 JUMEX EDOMX</v>
          </cell>
          <cell r="AN69"/>
          <cell r="AO69"/>
          <cell r="AP69" t="str">
            <v>10081122</v>
          </cell>
          <cell r="AR69" t="str">
            <v>Sindicalizado</v>
          </cell>
        </row>
        <row r="70">
          <cell r="A70" t="str">
            <v>71156</v>
          </cell>
          <cell r="B70" t="str">
            <v>RIVERA ARRES JOSE BALDEMAR</v>
          </cell>
          <cell r="C70" t="str">
            <v>AUXILIAR DE SERVICIOS GENERALES</v>
          </cell>
          <cell r="D70" t="str">
            <v>SERVICIOS GENERALES</v>
          </cell>
          <cell r="E70" t="str">
            <v>AV01020301 JUMEX ALMACENAJE</v>
          </cell>
          <cell r="F70" t="str">
            <v>17/01/2024</v>
          </cell>
          <cell r="G70" t="str">
            <v>02/02/2024</v>
          </cell>
          <cell r="H70" t="str">
            <v>BAJA</v>
          </cell>
          <cell r="I70" t="str">
            <v>TERMINO DE CONTRATO</v>
          </cell>
          <cell r="J70">
            <v>248.93</v>
          </cell>
          <cell r="K70">
            <v>261.17</v>
          </cell>
          <cell r="L70" t="str">
            <v>SEM07</v>
          </cell>
          <cell r="M70" t="str">
            <v>7 SINDICALIZADO - CUAUTITLAN</v>
          </cell>
          <cell r="N70" t="str">
            <v>24/03/2001</v>
          </cell>
          <cell r="O70" t="str">
            <v>RIAB0103245E7</v>
          </cell>
          <cell r="P70" t="str">
            <v>RIAB010324HVZVRLA2</v>
          </cell>
          <cell r="Q70" t="str">
            <v>19190166934</v>
          </cell>
          <cell r="R70" t="str">
            <v>AV HIDALGO</v>
          </cell>
          <cell r="S70" t="str">
            <v>4</v>
          </cell>
          <cell r="T70"/>
          <cell r="U70" t="str">
            <v>BARR TLATILCO</v>
          </cell>
          <cell r="V70"/>
          <cell r="W70" t="str">
            <v>MEXICO</v>
          </cell>
          <cell r="X70">
            <v>54770</v>
          </cell>
          <cell r="Y70" t="str">
            <v>5560630579</v>
          </cell>
          <cell r="Z70"/>
          <cell r="AA70" t="str">
            <v>H</v>
          </cell>
          <cell r="AB70" t="str">
            <v>56883325335</v>
          </cell>
          <cell r="AC70" t="str">
            <v>PERMANENTE</v>
          </cell>
          <cell r="AD70" t="str">
            <v>QUERETARO</v>
          </cell>
          <cell r="AE70" t="str">
            <v>SOLTERO(A)</v>
          </cell>
          <cell r="AF70" t="str">
            <v>BACHILLERATO</v>
          </cell>
          <cell r="AG70" t="str">
            <v>(OMISION)</v>
          </cell>
          <cell r="AH70"/>
          <cell r="AI70"/>
          <cell r="AJ70" t="str">
            <v>riveraarresjosebaldemar@gmail.com</v>
          </cell>
          <cell r="AK70" t="str">
            <v>COSTO VARIABLE</v>
          </cell>
          <cell r="AL70" t="str">
            <v>AVIOR CAL</v>
          </cell>
          <cell r="AM70" t="str">
            <v>AV07 JUMEX EDOMX</v>
          </cell>
          <cell r="AN70"/>
          <cell r="AO70"/>
          <cell r="AP70" t="str">
            <v>10081199</v>
          </cell>
          <cell r="AR70" t="str">
            <v>Sindicalizado</v>
          </cell>
        </row>
        <row r="71">
          <cell r="A71" t="str">
            <v>71157</v>
          </cell>
          <cell r="B71" t="str">
            <v>JIMENEZ CIPRIANO RUBEN</v>
          </cell>
          <cell r="C71" t="str">
            <v>AUXILIAR DE SERVICIOS GENERALES</v>
          </cell>
          <cell r="D71" t="str">
            <v>SERVICIOS GENERALES</v>
          </cell>
          <cell r="E71" t="str">
            <v>AV01020301 JUMEX ALMACENAJE</v>
          </cell>
          <cell r="F71" t="str">
            <v>19/01/2024</v>
          </cell>
          <cell r="G71" t="str">
            <v>22/01/2024</v>
          </cell>
          <cell r="H71" t="str">
            <v>BAJA</v>
          </cell>
          <cell r="I71" t="str">
            <v>ABANDONO DE EMPLEO</v>
          </cell>
          <cell r="J71">
            <v>248.93</v>
          </cell>
          <cell r="K71">
            <v>261.17</v>
          </cell>
          <cell r="L71" t="str">
            <v>SEM07</v>
          </cell>
          <cell r="M71" t="str">
            <v>7 SINDICALIZADO - CUAUTITLAN</v>
          </cell>
          <cell r="N71" t="str">
            <v>04/01/1985</v>
          </cell>
          <cell r="O71" t="str">
            <v>JICR850104AR5</v>
          </cell>
          <cell r="P71" t="str">
            <v>JICR850104HMCMPB07</v>
          </cell>
          <cell r="Q71" t="str">
            <v>45028507676</v>
          </cell>
          <cell r="R71" t="str">
            <v>C ACOCALCO</v>
          </cell>
          <cell r="S71" t="str">
            <v>0</v>
          </cell>
          <cell r="T71"/>
          <cell r="U71" t="str">
            <v>COYOTEPEC</v>
          </cell>
          <cell r="V71"/>
          <cell r="W71" t="str">
            <v>MEXICO</v>
          </cell>
          <cell r="X71">
            <v>54667</v>
          </cell>
          <cell r="Y71" t="str">
            <v>5520690860</v>
          </cell>
          <cell r="Z71"/>
          <cell r="AA71" t="str">
            <v>H</v>
          </cell>
          <cell r="AB71" t="str">
            <v>56883322296</v>
          </cell>
          <cell r="AC71" t="str">
            <v>PERMANENTE</v>
          </cell>
          <cell r="AD71" t="str">
            <v>MEXICO</v>
          </cell>
          <cell r="AE71" t="str">
            <v>SOLTERO(A)</v>
          </cell>
          <cell r="AF71" t="str">
            <v>BACHILLERATO</v>
          </cell>
          <cell r="AG71" t="str">
            <v>(OMISION)</v>
          </cell>
          <cell r="AH71"/>
          <cell r="AI71"/>
          <cell r="AJ71" t="str">
            <v>kjrubenn@hotmail.com</v>
          </cell>
          <cell r="AK71" t="str">
            <v>COSTO VARIABLE</v>
          </cell>
          <cell r="AL71" t="str">
            <v>AVIOR CAL</v>
          </cell>
          <cell r="AM71" t="str">
            <v>AV07 JUMEX EDOMX</v>
          </cell>
          <cell r="AN71"/>
          <cell r="AO71"/>
          <cell r="AP71" t="str">
            <v>10081281</v>
          </cell>
          <cell r="AR71" t="str">
            <v>Sindicalizado</v>
          </cell>
        </row>
        <row r="72">
          <cell r="A72" t="str">
            <v>71158</v>
          </cell>
          <cell r="B72" t="str">
            <v>PALACIOS CATALAN GABRIEL</v>
          </cell>
          <cell r="C72" t="str">
            <v>AUXILIAR DE SERVICIOS GENERALES</v>
          </cell>
          <cell r="D72" t="str">
            <v>SERVICIOS GENERALES</v>
          </cell>
          <cell r="E72" t="str">
            <v>AV01020301 JUMEX ALMACENAJE</v>
          </cell>
          <cell r="F72" t="str">
            <v>23/01/2024</v>
          </cell>
          <cell r="G72" t="str">
            <v>02/02/2024</v>
          </cell>
          <cell r="H72" t="str">
            <v>BAJA</v>
          </cell>
          <cell r="I72" t="str">
            <v>ABANDONO DE EMPLEO</v>
          </cell>
          <cell r="J72">
            <v>248.93</v>
          </cell>
          <cell r="K72">
            <v>261.17</v>
          </cell>
          <cell r="L72" t="str">
            <v>SEM07</v>
          </cell>
          <cell r="M72" t="str">
            <v>7 SINDICALIZADO - CUAUTITLAN</v>
          </cell>
          <cell r="N72" t="str">
            <v>31/05/2000</v>
          </cell>
          <cell r="O72" t="str">
            <v>PACG000531TSA</v>
          </cell>
          <cell r="P72" t="str">
            <v>PACG000531HGRLTBA2</v>
          </cell>
          <cell r="Q72" t="str">
            <v>39160072656</v>
          </cell>
          <cell r="R72" t="str">
            <v>CERRADA DEL RIO</v>
          </cell>
          <cell r="S72"/>
          <cell r="T72"/>
          <cell r="U72" t="str">
            <v>SAN SEBASTIAN XALA</v>
          </cell>
          <cell r="V72"/>
          <cell r="W72" t="str">
            <v>MEXICO</v>
          </cell>
          <cell r="X72">
            <v>54714</v>
          </cell>
          <cell r="Y72" t="str">
            <v>5546461132</v>
          </cell>
          <cell r="Z72"/>
          <cell r="AA72" t="str">
            <v>H</v>
          </cell>
          <cell r="AB72" t="str">
            <v>56883845624</v>
          </cell>
          <cell r="AC72" t="str">
            <v>PERMANENTE</v>
          </cell>
          <cell r="AD72" t="str">
            <v>QUERETARO</v>
          </cell>
          <cell r="AE72" t="str">
            <v>SOLTERO(A)</v>
          </cell>
          <cell r="AF72" t="str">
            <v>BACHILLERATO</v>
          </cell>
          <cell r="AG72" t="str">
            <v>(OMISION)</v>
          </cell>
          <cell r="AH72"/>
          <cell r="AI72"/>
          <cell r="AJ72" t="str">
            <v>gp461545@gmail.com</v>
          </cell>
          <cell r="AK72" t="str">
            <v>COSTO VARIABLE</v>
          </cell>
          <cell r="AL72" t="str">
            <v>AVIOR CAL</v>
          </cell>
          <cell r="AM72" t="str">
            <v>AV07 JUMEX EDOMX</v>
          </cell>
          <cell r="AN72"/>
          <cell r="AO72"/>
          <cell r="AP72" t="str">
            <v>10081394</v>
          </cell>
          <cell r="AR72" t="str">
            <v>Sindicalizado</v>
          </cell>
        </row>
        <row r="73">
          <cell r="A73" t="str">
            <v>71159</v>
          </cell>
          <cell r="B73" t="str">
            <v>RAMOS MARTINEZ JOSUE ADRIAN</v>
          </cell>
          <cell r="C73" t="str">
            <v>AUXILIAR DE SERVICIOS GENERALES</v>
          </cell>
          <cell r="D73" t="str">
            <v>SERVICIOS GENERALES</v>
          </cell>
          <cell r="E73" t="str">
            <v>AV01020301 JUMEX ALMACENAJE</v>
          </cell>
          <cell r="F73" t="str">
            <v>23/01/2024</v>
          </cell>
          <cell r="G73"/>
          <cell r="H73" t="str">
            <v>ALTA</v>
          </cell>
          <cell r="I73" t="str">
            <v>CONTRATACION</v>
          </cell>
          <cell r="J73">
            <v>248.93</v>
          </cell>
          <cell r="K73">
            <v>261.17</v>
          </cell>
          <cell r="L73" t="str">
            <v>SEM07</v>
          </cell>
          <cell r="M73" t="str">
            <v>7 SINDICALIZADO - CUAUTITLAN</v>
          </cell>
          <cell r="N73" t="str">
            <v>04/03/1995</v>
          </cell>
          <cell r="O73" t="str">
            <v>RAMJ950304KD9</v>
          </cell>
          <cell r="P73" t="str">
            <v>RAMJ950304HMCMRS08</v>
          </cell>
          <cell r="Q73" t="str">
            <v>03149524633</v>
          </cell>
          <cell r="R73" t="str">
            <v>C MINA</v>
          </cell>
          <cell r="S73"/>
          <cell r="T73"/>
          <cell r="U73" t="str">
            <v>SAN MARCOS</v>
          </cell>
          <cell r="V73"/>
          <cell r="W73" t="str">
            <v>MEXICO</v>
          </cell>
          <cell r="X73">
            <v>55606</v>
          </cell>
          <cell r="Y73" t="str">
            <v>5567633131</v>
          </cell>
          <cell r="Z73"/>
          <cell r="AA73" t="str">
            <v>H</v>
          </cell>
          <cell r="AB73" t="str">
            <v>56873196306</v>
          </cell>
          <cell r="AC73" t="str">
            <v>PERMANENTE</v>
          </cell>
          <cell r="AD73" t="str">
            <v>QUERETARO</v>
          </cell>
          <cell r="AE73" t="str">
            <v>UNION LIBRE</v>
          </cell>
          <cell r="AF73" t="str">
            <v>SECUNDARIA</v>
          </cell>
          <cell r="AG73" t="str">
            <v>(OMISION)</v>
          </cell>
          <cell r="AH73"/>
          <cell r="AI73"/>
          <cell r="AJ73" t="str">
            <v>jac_quercito.ku@hotmail.com</v>
          </cell>
          <cell r="AK73" t="str">
            <v>COSTO VARIABLE</v>
          </cell>
          <cell r="AL73" t="str">
            <v>AVIOR CAL</v>
          </cell>
          <cell r="AM73" t="str">
            <v>AV07 JUMEX EDOMX</v>
          </cell>
          <cell r="AN73"/>
          <cell r="AO73"/>
          <cell r="AP73" t="str">
            <v>10081386</v>
          </cell>
          <cell r="AR73" t="str">
            <v>Sindicalizado</v>
          </cell>
        </row>
        <row r="74">
          <cell r="A74" t="str">
            <v>71160</v>
          </cell>
          <cell r="B74" t="str">
            <v>SALAS MENDOZA JOSE ALEXIS</v>
          </cell>
          <cell r="C74" t="str">
            <v>AUXILIAR DE SERVICIOS GENERALES</v>
          </cell>
          <cell r="D74" t="str">
            <v>SERVICIOS GENERALES</v>
          </cell>
          <cell r="E74" t="str">
            <v>AV01020301 JUMEX ALMACENAJE</v>
          </cell>
          <cell r="F74" t="str">
            <v>23/01/2024</v>
          </cell>
          <cell r="G74"/>
          <cell r="H74" t="str">
            <v>ALTA</v>
          </cell>
          <cell r="I74" t="str">
            <v>CONTRATACION</v>
          </cell>
          <cell r="J74">
            <v>248.93</v>
          </cell>
          <cell r="K74">
            <v>261.17</v>
          </cell>
          <cell r="L74" t="str">
            <v>SEM07</v>
          </cell>
          <cell r="M74" t="str">
            <v>7 SINDICALIZADO - CUAUTITLAN</v>
          </cell>
          <cell r="N74" t="str">
            <v>19/03/1995</v>
          </cell>
          <cell r="O74" t="str">
            <v>SAMA950319H24</v>
          </cell>
          <cell r="P74" t="str">
            <v>SAMA950319HMCLNL09</v>
          </cell>
          <cell r="Q74" t="str">
            <v>75169590439</v>
          </cell>
          <cell r="R74" t="str">
            <v>PRIV MINA</v>
          </cell>
          <cell r="S74"/>
          <cell r="T74"/>
          <cell r="U74" t="str">
            <v>BARRIO SAN MARCOS</v>
          </cell>
          <cell r="V74"/>
          <cell r="W74" t="str">
            <v>MEXICO</v>
          </cell>
          <cell r="X74">
            <v>55606</v>
          </cell>
          <cell r="Y74" t="str">
            <v>5561312717</v>
          </cell>
          <cell r="Z74"/>
          <cell r="AA74" t="str">
            <v>H</v>
          </cell>
          <cell r="AB74" t="str">
            <v>56883841667</v>
          </cell>
          <cell r="AC74" t="str">
            <v>PERMANENTE</v>
          </cell>
          <cell r="AD74" t="str">
            <v>QUERETARO</v>
          </cell>
          <cell r="AE74" t="str">
            <v>CASADO(A)</v>
          </cell>
          <cell r="AF74" t="str">
            <v>BACHILLERATO</v>
          </cell>
          <cell r="AG74" t="str">
            <v>(OMISION)</v>
          </cell>
          <cell r="AH74"/>
          <cell r="AI74"/>
          <cell r="AJ74" t="str">
            <v>alexissalas@gmail.com</v>
          </cell>
          <cell r="AK74" t="str">
            <v>COSTO VARIABLE</v>
          </cell>
          <cell r="AL74" t="str">
            <v>AVIOR CAL</v>
          </cell>
          <cell r="AM74" t="str">
            <v>AV07 JUMEX EDOMX</v>
          </cell>
          <cell r="AN74"/>
          <cell r="AO74"/>
          <cell r="AP74" t="str">
            <v>10081399</v>
          </cell>
          <cell r="AR74" t="str">
            <v>Sindicalizado</v>
          </cell>
        </row>
        <row r="75">
          <cell r="A75" t="str">
            <v>71161</v>
          </cell>
          <cell r="B75" t="str">
            <v>CRUZ PADILLA AIDETH</v>
          </cell>
          <cell r="C75" t="str">
            <v>AUXILIAR DE AUDITORIA INTERNA</v>
          </cell>
          <cell r="D75" t="str">
            <v>AUDITORIA INTERNA</v>
          </cell>
          <cell r="E75" t="str">
            <v>AV01020301 JUMEX ALMACENAJE</v>
          </cell>
          <cell r="F75" t="str">
            <v>25/01/2024</v>
          </cell>
          <cell r="G75"/>
          <cell r="H75" t="str">
            <v>ALTA</v>
          </cell>
          <cell r="I75" t="str">
            <v>CONTRATACION</v>
          </cell>
          <cell r="J75">
            <v>253.19</v>
          </cell>
          <cell r="K75">
            <v>265.64</v>
          </cell>
          <cell r="L75" t="str">
            <v>SEM07</v>
          </cell>
          <cell r="M75" t="str">
            <v>7 CONFIANZA - CUAUTITLAN</v>
          </cell>
          <cell r="N75" t="str">
            <v>07/06/1988</v>
          </cell>
          <cell r="O75" t="str">
            <v>CUPA8806074W7</v>
          </cell>
          <cell r="P75" t="str">
            <v>CUPA880607MMCRDD03</v>
          </cell>
          <cell r="Q75" t="str">
            <v>92088843609</v>
          </cell>
          <cell r="R75" t="str">
            <v>CDA JACARANDAS MZA 70 LT 1</v>
          </cell>
          <cell r="S75"/>
          <cell r="T75"/>
          <cell r="U75" t="str">
            <v>BOSQUES DE LOS PINOS</v>
          </cell>
          <cell r="V75"/>
          <cell r="W75" t="str">
            <v>MEXICO</v>
          </cell>
          <cell r="X75">
            <v>54745</v>
          </cell>
          <cell r="Y75" t="str">
            <v>5634540711</v>
          </cell>
          <cell r="Z75"/>
          <cell r="AA75" t="str">
            <v>M</v>
          </cell>
          <cell r="AB75" t="str">
            <v>56884141741</v>
          </cell>
          <cell r="AC75" t="str">
            <v>PERMANENTE</v>
          </cell>
          <cell r="AD75" t="str">
            <v>QUERETARO</v>
          </cell>
          <cell r="AE75" t="str">
            <v>SOLTERO(A)</v>
          </cell>
          <cell r="AF75" t="str">
            <v>SECUNDARIA</v>
          </cell>
          <cell r="AG75" t="str">
            <v>(OMISION)</v>
          </cell>
          <cell r="AH75"/>
          <cell r="AI75"/>
          <cell r="AJ75" t="str">
            <v>aidethcruzpadilla@gmail.com</v>
          </cell>
          <cell r="AK75" t="str">
            <v>COSTO VARIABLE</v>
          </cell>
          <cell r="AL75" t="str">
            <v>AVIOR CAL</v>
          </cell>
          <cell r="AM75" t="str">
            <v>AV07 JUMEX EDOMX</v>
          </cell>
          <cell r="AN75"/>
          <cell r="AO75"/>
          <cell r="AP75" t="str">
            <v>10081492</v>
          </cell>
          <cell r="AR75" t="str">
            <v>Aministrativo</v>
          </cell>
        </row>
        <row r="76">
          <cell r="A76" t="str">
            <v>71162</v>
          </cell>
          <cell r="B76" t="str">
            <v>LOZADA RODRIGUEZ HUMBERTO</v>
          </cell>
          <cell r="C76" t="str">
            <v>AUXILIAR DE SERVICIOS GENERALES</v>
          </cell>
          <cell r="D76" t="str">
            <v>SERVICIOS GENERALES</v>
          </cell>
          <cell r="E76" t="str">
            <v>AV01020301 JUMEX ALMACENAJE</v>
          </cell>
          <cell r="F76" t="str">
            <v>25/01/2024</v>
          </cell>
          <cell r="G76"/>
          <cell r="H76" t="str">
            <v>ALTA</v>
          </cell>
          <cell r="I76" t="str">
            <v>CONTRATACION</v>
          </cell>
          <cell r="J76">
            <v>248.93</v>
          </cell>
          <cell r="K76">
            <v>261.17</v>
          </cell>
          <cell r="L76" t="str">
            <v>SEM07</v>
          </cell>
          <cell r="M76" t="str">
            <v>7 SINDICALIZADO - CUAUTITLAN</v>
          </cell>
          <cell r="N76" t="str">
            <v>12/05/1985</v>
          </cell>
          <cell r="O76" t="str">
            <v>LORH850512D17</v>
          </cell>
          <cell r="P76" t="str">
            <v>LORH850512HDFZDM09</v>
          </cell>
          <cell r="Q76" t="str">
            <v>45038506759</v>
          </cell>
          <cell r="R76" t="str">
            <v>PROVINCIA DE GENOVA EDIF 109 D</v>
          </cell>
          <cell r="S76"/>
          <cell r="T76"/>
          <cell r="U76" t="str">
            <v>FRACC PASEOS DE LA PRADERA</v>
          </cell>
          <cell r="V76"/>
          <cell r="W76" t="str">
            <v>HIDALGO</v>
          </cell>
          <cell r="X76">
            <v>42995</v>
          </cell>
          <cell r="Y76" t="str">
            <v>5541192953</v>
          </cell>
          <cell r="Z76"/>
          <cell r="AA76" t="str">
            <v>H</v>
          </cell>
          <cell r="AB76" t="str">
            <v>56884134343</v>
          </cell>
          <cell r="AC76" t="str">
            <v>PERMANENTE</v>
          </cell>
          <cell r="AD76" t="str">
            <v>QUERETARO</v>
          </cell>
          <cell r="AE76" t="str">
            <v>SOLTERO(A)</v>
          </cell>
          <cell r="AF76" t="str">
            <v>BACHILLERATO</v>
          </cell>
          <cell r="AG76" t="str">
            <v>(OMISION)</v>
          </cell>
          <cell r="AH76"/>
          <cell r="AI76"/>
          <cell r="AJ76" t="str">
            <v>chesaif6@gmail.com</v>
          </cell>
          <cell r="AK76" t="str">
            <v>COSTO VARIABLE</v>
          </cell>
          <cell r="AL76" t="str">
            <v>AVIOR CAL</v>
          </cell>
          <cell r="AM76" t="str">
            <v>AV07 JUMEX EDOMX</v>
          </cell>
          <cell r="AN76"/>
          <cell r="AO76"/>
          <cell r="AP76" t="str">
            <v>10081488</v>
          </cell>
          <cell r="AR76" t="str">
            <v>Sindicalizado</v>
          </cell>
        </row>
        <row r="77">
          <cell r="A77" t="str">
            <v>71163</v>
          </cell>
          <cell r="B77" t="str">
            <v>RAMIREZ ALVAREZ KARINA</v>
          </cell>
          <cell r="C77" t="str">
            <v>AUXILIAR DE VERIFICACION</v>
          </cell>
          <cell r="D77" t="str">
            <v>PLANEACION Y LOGISTICA</v>
          </cell>
          <cell r="E77" t="str">
            <v>AV01020301 JUMEX ALMACENAJE</v>
          </cell>
          <cell r="F77" t="str">
            <v>25/01/2024</v>
          </cell>
          <cell r="G77" t="str">
            <v>02/02/2024</v>
          </cell>
          <cell r="H77" t="str">
            <v>BAJA</v>
          </cell>
          <cell r="I77" t="str">
            <v>ABANDONO DE EMPLEO</v>
          </cell>
          <cell r="J77">
            <v>267.12</v>
          </cell>
          <cell r="K77">
            <v>280.26</v>
          </cell>
          <cell r="L77" t="str">
            <v>SEM07</v>
          </cell>
          <cell r="M77" t="str">
            <v>7 CONFIANZA - CUAUTITLAN</v>
          </cell>
          <cell r="N77" t="str">
            <v>08/08/1984</v>
          </cell>
          <cell r="O77" t="str">
            <v>RAAK8408087H1</v>
          </cell>
          <cell r="P77" t="str">
            <v>RAAK840808MMCMLR02</v>
          </cell>
          <cell r="Q77" t="str">
            <v>03158432611</v>
          </cell>
          <cell r="R77" t="str">
            <v>JACARANDAS 12</v>
          </cell>
          <cell r="S77"/>
          <cell r="T77"/>
          <cell r="U77" t="str">
            <v>FRACC LOS MORALES</v>
          </cell>
          <cell r="V77"/>
          <cell r="W77" t="str">
            <v>MEXICO</v>
          </cell>
          <cell r="X77">
            <v>54800</v>
          </cell>
          <cell r="Y77" t="str">
            <v>5584579206</v>
          </cell>
          <cell r="Z77"/>
          <cell r="AA77" t="str">
            <v>M</v>
          </cell>
          <cell r="AB77" t="str">
            <v>56884144492</v>
          </cell>
          <cell r="AC77" t="str">
            <v>PERMANENTE</v>
          </cell>
          <cell r="AD77" t="str">
            <v>QUERETARO</v>
          </cell>
          <cell r="AE77" t="str">
            <v>SOLTERO(A)</v>
          </cell>
          <cell r="AF77" t="str">
            <v>BACHILLERATO</v>
          </cell>
          <cell r="AG77" t="str">
            <v>(OMISION)</v>
          </cell>
          <cell r="AH77"/>
          <cell r="AI77"/>
          <cell r="AJ77" t="str">
            <v>karryramirez13@gmail.com</v>
          </cell>
          <cell r="AK77" t="str">
            <v>COSTO VARIABLE</v>
          </cell>
          <cell r="AL77" t="str">
            <v>AVIOR CAL</v>
          </cell>
          <cell r="AM77" t="str">
            <v>AV07 JUMEX EDOMX</v>
          </cell>
          <cell r="AN77"/>
          <cell r="AO77"/>
          <cell r="AP77" t="str">
            <v>10081485</v>
          </cell>
          <cell r="AR77" t="str">
            <v>Aministrativo</v>
          </cell>
        </row>
        <row r="78">
          <cell r="A78" t="str">
            <v>71164</v>
          </cell>
          <cell r="B78" t="str">
            <v>VALERIO ELIZALDE MELINA</v>
          </cell>
          <cell r="C78" t="str">
            <v>AUXILIAR DE SERVICIOS GENERALES</v>
          </cell>
          <cell r="D78" t="str">
            <v>SERVICIOS GENERALES</v>
          </cell>
          <cell r="E78" t="str">
            <v>AV01020301 JUMEX ALMACENAJE</v>
          </cell>
          <cell r="F78" t="str">
            <v>30/01/2024</v>
          </cell>
          <cell r="G78"/>
          <cell r="H78" t="str">
            <v>ALTA</v>
          </cell>
          <cell r="I78" t="str">
            <v>CONTRATACION</v>
          </cell>
          <cell r="J78">
            <v>248.93</v>
          </cell>
          <cell r="K78">
            <v>261.17</v>
          </cell>
          <cell r="L78" t="str">
            <v>SEM07</v>
          </cell>
          <cell r="M78" t="str">
            <v>7 SINDICALIZADO - CUAUTITLAN</v>
          </cell>
          <cell r="N78" t="str">
            <v>29/11/1977</v>
          </cell>
          <cell r="O78" t="str">
            <v>VAEM771129R48</v>
          </cell>
          <cell r="P78" t="str">
            <v>VAEM771129MMCLLL03</v>
          </cell>
          <cell r="Q78" t="str">
            <v>37937710145</v>
          </cell>
          <cell r="R78" t="str">
            <v>CDA DEL PINO</v>
          </cell>
          <cell r="S78"/>
          <cell r="T78"/>
          <cell r="U78" t="str">
            <v>BARR SAN BARTOLO</v>
          </cell>
          <cell r="V78"/>
          <cell r="W78" t="str">
            <v>MEXICO</v>
          </cell>
          <cell r="X78">
            <v>54784</v>
          </cell>
          <cell r="Y78" t="str">
            <v>5631310437</v>
          </cell>
          <cell r="Z78"/>
          <cell r="AA78" t="str">
            <v>M</v>
          </cell>
          <cell r="AB78" t="str">
            <v>56884347081</v>
          </cell>
          <cell r="AC78" t="str">
            <v>PERMANENTE</v>
          </cell>
          <cell r="AD78" t="str">
            <v>QUERETARO</v>
          </cell>
          <cell r="AE78" t="str">
            <v>SOLTERO(A)</v>
          </cell>
          <cell r="AF78" t="str">
            <v>SECUNDARIA</v>
          </cell>
          <cell r="AG78" t="str">
            <v>(OMISION)</v>
          </cell>
          <cell r="AH78"/>
          <cell r="AI78"/>
          <cell r="AJ78" t="str">
            <v>melinavalerioelizalde@gmail.com</v>
          </cell>
          <cell r="AK78" t="str">
            <v>COSTO VARIABLE</v>
          </cell>
          <cell r="AL78" t="str">
            <v>AVIOR CAL</v>
          </cell>
          <cell r="AM78" t="str">
            <v>AV07 JUMEX EDOMX</v>
          </cell>
          <cell r="AN78"/>
          <cell r="AO78"/>
          <cell r="AP78" t="str">
            <v>10081576</v>
          </cell>
          <cell r="AR78" t="str">
            <v>Sindicalizado</v>
          </cell>
        </row>
        <row r="79">
          <cell r="A79" t="str">
            <v>71165</v>
          </cell>
          <cell r="B79" t="str">
            <v>AGUILERA FLORES MELANI</v>
          </cell>
          <cell r="C79" t="str">
            <v>AUXILIAR DE OPERACIONES</v>
          </cell>
          <cell r="D79" t="str">
            <v>OPERACIONES</v>
          </cell>
          <cell r="E79" t="str">
            <v>AV01020301 JUMEX ALMACENAJE</v>
          </cell>
          <cell r="F79" t="str">
            <v>01/02/2024</v>
          </cell>
          <cell r="G79"/>
          <cell r="H79" t="str">
            <v>ALTA</v>
          </cell>
          <cell r="I79" t="str">
            <v>CONTRATACION</v>
          </cell>
          <cell r="J79">
            <v>249.77</v>
          </cell>
          <cell r="K79">
            <v>262.05</v>
          </cell>
          <cell r="L79" t="str">
            <v>SEM07</v>
          </cell>
          <cell r="M79" t="str">
            <v>7 SINDICALIZADO - CUAUTITLAN</v>
          </cell>
          <cell r="N79" t="str">
            <v>28/03/1996</v>
          </cell>
          <cell r="O79" t="str">
            <v>AUFM960328JA2</v>
          </cell>
          <cell r="P79" t="str">
            <v>AUFM960328MMCGLL05</v>
          </cell>
          <cell r="Q79" t="str">
            <v>35149678159</v>
          </cell>
          <cell r="R79" t="str">
            <v>C HEROES DE LA REVOLUCION</v>
          </cell>
          <cell r="S79"/>
          <cell r="T79"/>
          <cell r="U79" t="str">
            <v>ACOCALCO</v>
          </cell>
          <cell r="V79"/>
          <cell r="W79" t="str">
            <v>MEXICO</v>
          </cell>
          <cell r="X79">
            <v>54667</v>
          </cell>
          <cell r="Y79" t="str">
            <v>5626628190</v>
          </cell>
          <cell r="Z79"/>
          <cell r="AA79" t="str">
            <v>M</v>
          </cell>
          <cell r="AB79" t="str">
            <v>56884719477</v>
          </cell>
          <cell r="AC79" t="str">
            <v>PERMANENTE</v>
          </cell>
          <cell r="AD79" t="str">
            <v>MEXICO</v>
          </cell>
          <cell r="AE79" t="str">
            <v>SOLTERO(A)</v>
          </cell>
          <cell r="AF79" t="str">
            <v>SECUNDARIA</v>
          </cell>
          <cell r="AG79" t="str">
            <v>(OMISION)</v>
          </cell>
          <cell r="AH79"/>
          <cell r="AI79"/>
          <cell r="AJ79" t="str">
            <v>melkaguilera7@gmail.com</v>
          </cell>
          <cell r="AK79" t="str">
            <v>COSTO VARIABLE</v>
          </cell>
          <cell r="AL79" t="str">
            <v>AVIOR CAL</v>
          </cell>
          <cell r="AM79" t="str">
            <v>AV07 JUMEX EDOMX</v>
          </cell>
          <cell r="AN79"/>
          <cell r="AO79"/>
          <cell r="AP79" t="str">
            <v>10048921</v>
          </cell>
          <cell r="AR79" t="str">
            <v>Sindicalizado</v>
          </cell>
        </row>
        <row r="80">
          <cell r="A80" t="str">
            <v>71166</v>
          </cell>
          <cell r="B80" t="str">
            <v>CAMPOS VILLA JULIO CESAR</v>
          </cell>
          <cell r="C80" t="str">
            <v>ANALISTA DE INVENTARIOS</v>
          </cell>
          <cell r="D80" t="str">
            <v>PLANEACION Y LOGISTICA</v>
          </cell>
          <cell r="E80" t="str">
            <v>AV01020301 JUMEX ALMACENAJE</v>
          </cell>
          <cell r="F80" t="str">
            <v>01/02/2024</v>
          </cell>
          <cell r="G80" t="str">
            <v>02/02/2024</v>
          </cell>
          <cell r="H80" t="str">
            <v>BAJA</v>
          </cell>
          <cell r="I80" t="str">
            <v>ABANDONO DE EMPLEO</v>
          </cell>
          <cell r="J80">
            <v>310.52999999999997</v>
          </cell>
          <cell r="K80">
            <v>325.8</v>
          </cell>
          <cell r="L80" t="str">
            <v>SEM07</v>
          </cell>
          <cell r="M80" t="str">
            <v>7 CONFIANZA - CUAUTITLAN</v>
          </cell>
          <cell r="N80" t="str">
            <v>21/01/1986</v>
          </cell>
          <cell r="O80" t="str">
            <v>CAVJ860121E28</v>
          </cell>
          <cell r="P80" t="str">
            <v>CAVJ860121HMCMLL08</v>
          </cell>
          <cell r="Q80" t="str">
            <v>92058643427</v>
          </cell>
          <cell r="R80" t="str">
            <v>C JOAQUIN FERNANDEZ DE LIZARDI</v>
          </cell>
          <cell r="S80"/>
          <cell r="T80"/>
          <cell r="U80" t="str">
            <v>RICARDO FLORES MAGON</v>
          </cell>
          <cell r="V80"/>
          <cell r="W80" t="str">
            <v>MEXICO</v>
          </cell>
          <cell r="X80">
            <v>64607</v>
          </cell>
          <cell r="Y80" t="str">
            <v>5530605168</v>
          </cell>
          <cell r="Z80"/>
          <cell r="AA80" t="str">
            <v>H</v>
          </cell>
          <cell r="AB80" t="str">
            <v>14002679497</v>
          </cell>
          <cell r="AC80" t="str">
            <v>PERMANENTE</v>
          </cell>
          <cell r="AD80" t="str">
            <v>QUERETARO</v>
          </cell>
          <cell r="AE80" t="str">
            <v>SOLTERO(A)</v>
          </cell>
          <cell r="AF80" t="str">
            <v>PROFESIONAL</v>
          </cell>
          <cell r="AG80" t="str">
            <v>(OMISION)</v>
          </cell>
          <cell r="AH80"/>
          <cell r="AI80"/>
          <cell r="AJ80" t="str">
            <v>troyano010@gmail.com</v>
          </cell>
          <cell r="AK80" t="str">
            <v>COSTO VARIABLE</v>
          </cell>
          <cell r="AL80" t="str">
            <v>AVIOR CAL</v>
          </cell>
          <cell r="AM80" t="str">
            <v>AV07 JUMEX EDOMX</v>
          </cell>
          <cell r="AN80"/>
          <cell r="AO80"/>
          <cell r="AP80" t="str">
            <v>10081674</v>
          </cell>
          <cell r="AR80" t="str">
            <v>Aministrativo</v>
          </cell>
        </row>
        <row r="81">
          <cell r="A81" t="str">
            <v>71167</v>
          </cell>
          <cell r="B81" t="str">
            <v>MARTINEZ ROJAS OYUKI JOSELYN</v>
          </cell>
          <cell r="C81" t="str">
            <v>ANALISTA DE INVENTARIOS</v>
          </cell>
          <cell r="D81" t="str">
            <v>PLANEACION Y LOGISTICA</v>
          </cell>
          <cell r="E81" t="str">
            <v>AV01020301 JUMEX ALMACENAJE</v>
          </cell>
          <cell r="F81" t="str">
            <v>02/02/2024</v>
          </cell>
          <cell r="G81"/>
          <cell r="H81" t="str">
            <v>ALTA</v>
          </cell>
          <cell r="I81" t="str">
            <v>CONTRATACION</v>
          </cell>
          <cell r="J81">
            <v>310.52999999999997</v>
          </cell>
          <cell r="K81">
            <v>325.8</v>
          </cell>
          <cell r="L81" t="str">
            <v>SEM07</v>
          </cell>
          <cell r="M81" t="str">
            <v>7 CONFIANZA - CUAUTITLAN</v>
          </cell>
          <cell r="N81" t="str">
            <v>12/04/1995</v>
          </cell>
          <cell r="O81" t="str">
            <v>MARO950412J33</v>
          </cell>
          <cell r="P81" t="str">
            <v>MARO950412MMCRJY05</v>
          </cell>
          <cell r="Q81" t="str">
            <v>92139553124</v>
          </cell>
          <cell r="R81" t="str">
            <v>PROGRESO</v>
          </cell>
          <cell r="S81"/>
          <cell r="T81"/>
          <cell r="U81" t="str">
            <v>SANTO TOMAS</v>
          </cell>
          <cell r="V81"/>
          <cell r="W81" t="str">
            <v>MEXICO</v>
          </cell>
          <cell r="X81">
            <v>54783</v>
          </cell>
          <cell r="Y81" t="str">
            <v>5522775107</v>
          </cell>
          <cell r="Z81"/>
          <cell r="AA81" t="str">
            <v>M</v>
          </cell>
          <cell r="AB81" t="str">
            <v>56884790113</v>
          </cell>
          <cell r="AC81" t="str">
            <v>PERMANENTE</v>
          </cell>
          <cell r="AD81" t="str">
            <v>QUERETARO</v>
          </cell>
          <cell r="AE81" t="str">
            <v>CASADO(A)</v>
          </cell>
          <cell r="AF81" t="str">
            <v>PROFESIONAL</v>
          </cell>
          <cell r="AG81" t="str">
            <v>(OMISION)</v>
          </cell>
          <cell r="AH81"/>
          <cell r="AI81"/>
          <cell r="AJ81" t="str">
            <v>joselynf195@gmail.com</v>
          </cell>
          <cell r="AK81" t="str">
            <v>COSTO VARIABLE</v>
          </cell>
          <cell r="AL81" t="str">
            <v>AVIOR CAL</v>
          </cell>
          <cell r="AM81" t="str">
            <v>AV07 JUMEX EDOMX</v>
          </cell>
          <cell r="AN81"/>
          <cell r="AO81"/>
          <cell r="AP81" t="str">
            <v>10081727</v>
          </cell>
          <cell r="AR81" t="str">
            <v>Aministrativo</v>
          </cell>
        </row>
        <row r="82">
          <cell r="A82" t="str">
            <v>71168</v>
          </cell>
          <cell r="B82" t="str">
            <v>DELGADO ANTONIO ARACELI</v>
          </cell>
          <cell r="C82" t="str">
            <v>AUXILIAR DE SERVICIOS GENERALES</v>
          </cell>
          <cell r="D82" t="str">
            <v>SERVICIOS GENERALES</v>
          </cell>
          <cell r="E82" t="str">
            <v>AV01020301 JUMEX ALMACENAJE</v>
          </cell>
          <cell r="F82" t="str">
            <v>06/02/2024</v>
          </cell>
          <cell r="G82"/>
          <cell r="H82" t="str">
            <v>ALTA</v>
          </cell>
          <cell r="I82" t="str">
            <v>CONTRATACION</v>
          </cell>
          <cell r="J82">
            <v>248.93</v>
          </cell>
          <cell r="K82">
            <v>261.17</v>
          </cell>
          <cell r="L82" t="str">
            <v>SEM07</v>
          </cell>
          <cell r="M82" t="str">
            <v>7 SINDICALIZADO - CUAUTITLAN</v>
          </cell>
          <cell r="N82" t="str">
            <v>19/11/1982</v>
          </cell>
          <cell r="O82" t="str">
            <v>DEAA8211198T8</v>
          </cell>
          <cell r="P82" t="str">
            <v>DEAA821119MDFLNR08</v>
          </cell>
          <cell r="Q82" t="str">
            <v>45048205269</v>
          </cell>
          <cell r="R82" t="str">
            <v>1RA CDA DE ZACATECAS MZ 6</v>
          </cell>
          <cell r="S82" t="str">
            <v>LT 4 9</v>
          </cell>
          <cell r="T82"/>
          <cell r="U82" t="str">
            <v>FRACC EL DORADO</v>
          </cell>
          <cell r="V82"/>
          <cell r="W82" t="str">
            <v>MEXICO</v>
          </cell>
          <cell r="X82">
            <v>54680</v>
          </cell>
          <cell r="Y82" t="str">
            <v>5571494447</v>
          </cell>
          <cell r="Z82"/>
          <cell r="AA82" t="str">
            <v>M</v>
          </cell>
          <cell r="AB82" t="str">
            <v>56884925459</v>
          </cell>
          <cell r="AC82" t="str">
            <v>PERMANENTE</v>
          </cell>
          <cell r="AD82" t="str">
            <v>QUERETARO</v>
          </cell>
          <cell r="AE82" t="str">
            <v>CASADO(A)</v>
          </cell>
          <cell r="AF82" t="str">
            <v>SECUNDARIA</v>
          </cell>
          <cell r="AG82" t="str">
            <v>(OMISION)</v>
          </cell>
          <cell r="AH82"/>
          <cell r="AI82"/>
          <cell r="AJ82" t="str">
            <v>antonioaraantonio@gmail.com</v>
          </cell>
          <cell r="AK82" t="str">
            <v>COSTO VARIABLE</v>
          </cell>
          <cell r="AL82" t="str">
            <v>AVIOR CAL</v>
          </cell>
          <cell r="AM82" t="str">
            <v>AV07 JUMEX EDOMX</v>
          </cell>
          <cell r="AN82"/>
          <cell r="AO82"/>
          <cell r="AP82" t="str">
            <v>10081803</v>
          </cell>
          <cell r="AR82" t="str">
            <v>Sindicalizado</v>
          </cell>
        </row>
        <row r="83">
          <cell r="A83" t="str">
            <v>120578</v>
          </cell>
          <cell r="B83" t="str">
            <v>GIL SANCHEZ MARCO ANTONIO</v>
          </cell>
          <cell r="C83" t="str">
            <v>AYUDANTE GENERAL</v>
          </cell>
          <cell r="D83" t="str">
            <v>PLANEACION Y LOGISTICA</v>
          </cell>
          <cell r="E83" t="str">
            <v>AV01030103 LA PASTORA ALMACENAJE</v>
          </cell>
          <cell r="F83" t="str">
            <v>03/01/2024</v>
          </cell>
          <cell r="G83" t="str">
            <v>22/01/2024</v>
          </cell>
          <cell r="H83" t="str">
            <v>BAJA</v>
          </cell>
          <cell r="I83" t="str">
            <v>ABANDONO DE EMPLEO</v>
          </cell>
          <cell r="J83">
            <v>248.93</v>
          </cell>
          <cell r="K83">
            <v>261.2</v>
          </cell>
          <cell r="L83" t="str">
            <v>SEM12</v>
          </cell>
          <cell r="M83" t="str">
            <v>12 SINDICALIZADO - TULTITLAN</v>
          </cell>
          <cell r="N83" t="str">
            <v>14/08/2001</v>
          </cell>
          <cell r="O83" t="str">
            <v>GISM010814242</v>
          </cell>
          <cell r="P83" t="str">
            <v>GISM010814HDFLNRA7</v>
          </cell>
          <cell r="Q83" t="str">
            <v>35180116242</v>
          </cell>
          <cell r="R83" t="str">
            <v>Bosques de Nogales 12</v>
          </cell>
          <cell r="S83" t="str">
            <v>Dpto 2</v>
          </cell>
          <cell r="T83"/>
          <cell r="U83" t="str">
            <v>Fracc Bosques del Valle</v>
          </cell>
          <cell r="V83"/>
          <cell r="W83" t="str">
            <v>MEXICO</v>
          </cell>
          <cell r="X83">
            <v>55717</v>
          </cell>
          <cell r="Y83" t="str">
            <v>5580365263</v>
          </cell>
          <cell r="Z83"/>
          <cell r="AA83" t="str">
            <v>H</v>
          </cell>
          <cell r="AB83" t="str">
            <v>25008818528</v>
          </cell>
          <cell r="AC83" t="str">
            <v>PERMANENTE</v>
          </cell>
          <cell r="AD83" t="str">
            <v>DISTRITO FEDERAL</v>
          </cell>
          <cell r="AE83" t="str">
            <v>SOLTERO(A)</v>
          </cell>
          <cell r="AF83" t="str">
            <v>BACHILLERATO</v>
          </cell>
          <cell r="AG83" t="str">
            <v>(OMISION)</v>
          </cell>
          <cell r="AH83"/>
          <cell r="AI83"/>
          <cell r="AJ83" t="str">
            <v>marcoa.gil@gmail.com</v>
          </cell>
          <cell r="AK83" t="str">
            <v>COSTO VARIABLE</v>
          </cell>
          <cell r="AL83" t="str">
            <v>AVIOR CAL</v>
          </cell>
          <cell r="AM83" t="str">
            <v>AV12 MULTICUENTAS EDOMX</v>
          </cell>
          <cell r="AN83"/>
          <cell r="AO83"/>
          <cell r="AP83" t="str">
            <v>10041241</v>
          </cell>
          <cell r="AR83" t="str">
            <v>Sindicalizado</v>
          </cell>
        </row>
        <row r="84">
          <cell r="A84" t="str">
            <v>120579</v>
          </cell>
          <cell r="B84" t="str">
            <v>ZARAZUA GONZALEZ WENDY HELLEN</v>
          </cell>
          <cell r="C84" t="str">
            <v>RESPONSABLE DE DOCUMENTACIÓN</v>
          </cell>
          <cell r="D84" t="str">
            <v>PLANEACION Y LOGISTICA</v>
          </cell>
          <cell r="E84" t="str">
            <v>AV01030115 CC PINSA NUEVO TR</v>
          </cell>
          <cell r="F84" t="str">
            <v>03/01/2024</v>
          </cell>
          <cell r="G84"/>
          <cell r="H84" t="str">
            <v>ALTA</v>
          </cell>
          <cell r="I84" t="str">
            <v>CONTRATACION</v>
          </cell>
          <cell r="J84">
            <v>269.69</v>
          </cell>
          <cell r="K84">
            <v>282.99</v>
          </cell>
          <cell r="L84" t="str">
            <v>SEM12</v>
          </cell>
          <cell r="M84" t="str">
            <v>12 CONFIANZA - TULTITLAN</v>
          </cell>
          <cell r="N84" t="str">
            <v>26/02/1991</v>
          </cell>
          <cell r="O84" t="str">
            <v>ZAGW910226NL2</v>
          </cell>
          <cell r="P84" t="str">
            <v>ZAGW910226MMCRNN03</v>
          </cell>
          <cell r="Q84" t="str">
            <v>08189142030</v>
          </cell>
          <cell r="R84" t="str">
            <v>BOSQUE DE LA LUZ 42</v>
          </cell>
          <cell r="S84"/>
          <cell r="T84"/>
          <cell r="U84" t="str">
            <v>RANCHO LA PALMA 3 Y 4 SECC</v>
          </cell>
          <cell r="V84"/>
          <cell r="W84" t="str">
            <v>MEXICO</v>
          </cell>
          <cell r="X84">
            <v>55717</v>
          </cell>
          <cell r="Y84" t="str">
            <v>5536484723</v>
          </cell>
          <cell r="Z84"/>
          <cell r="AA84" t="str">
            <v>M</v>
          </cell>
          <cell r="AB84" t="str">
            <v>56882232539</v>
          </cell>
          <cell r="AC84" t="str">
            <v>PERMANENTE</v>
          </cell>
          <cell r="AD84" t="str">
            <v>QUERETARO</v>
          </cell>
          <cell r="AE84" t="str">
            <v>CASADO(A)</v>
          </cell>
          <cell r="AF84" t="str">
            <v>BACHILLERATO</v>
          </cell>
          <cell r="AG84" t="str">
            <v>(OMISION)</v>
          </cell>
          <cell r="AH84"/>
          <cell r="AI84"/>
          <cell r="AJ84" t="str">
            <v>wensanzzarazua@gmail.com</v>
          </cell>
          <cell r="AK84" t="str">
            <v>COSTO VARIABLE</v>
          </cell>
          <cell r="AL84" t="str">
            <v>AVIOR CAL</v>
          </cell>
          <cell r="AM84" t="str">
            <v>AV12 MULTICUENTAS EDOMX</v>
          </cell>
          <cell r="AN84"/>
          <cell r="AO84"/>
          <cell r="AP84" t="str">
            <v>10080526</v>
          </cell>
          <cell r="AR84" t="str">
            <v>Aministrativo</v>
          </cell>
        </row>
        <row r="85">
          <cell r="A85" t="str">
            <v>120580</v>
          </cell>
          <cell r="B85" t="str">
            <v>CORTEZ LOZANO DANIELA IVONNE</v>
          </cell>
          <cell r="C85" t="str">
            <v>ASISTENTE DE INVENTARIOS</v>
          </cell>
          <cell r="D85" t="str">
            <v>PLANEACION Y LOGISTICA</v>
          </cell>
          <cell r="E85" t="str">
            <v>AV01030101 PINSA ALMACENAJE</v>
          </cell>
          <cell r="F85" t="str">
            <v>05/01/2024</v>
          </cell>
          <cell r="G85"/>
          <cell r="H85" t="str">
            <v>ALTA</v>
          </cell>
          <cell r="I85" t="str">
            <v>CONTRATACION</v>
          </cell>
          <cell r="J85">
            <v>330.73</v>
          </cell>
          <cell r="K85">
            <v>347</v>
          </cell>
          <cell r="L85" t="str">
            <v>SEM12</v>
          </cell>
          <cell r="M85" t="str">
            <v>12 CONFIANZA - TULTITLAN</v>
          </cell>
          <cell r="N85" t="str">
            <v>21/07/2002</v>
          </cell>
          <cell r="O85" t="str">
            <v>COLD020721AU9</v>
          </cell>
          <cell r="P85" t="str">
            <v>COLD020721MMCRNZA1</v>
          </cell>
          <cell r="Q85" t="str">
            <v>85170228333</v>
          </cell>
          <cell r="R85" t="str">
            <v>DURAZNOS SN</v>
          </cell>
          <cell r="S85"/>
          <cell r="T85"/>
          <cell r="U85" t="str">
            <v>SAN FRANCISCO TENOPALCO</v>
          </cell>
          <cell r="V85"/>
          <cell r="W85" t="str">
            <v>MEXICO</v>
          </cell>
          <cell r="X85">
            <v>54882</v>
          </cell>
          <cell r="Y85" t="str">
            <v>5573674407</v>
          </cell>
          <cell r="Z85"/>
          <cell r="AA85" t="str">
            <v>M</v>
          </cell>
          <cell r="AB85" t="str">
            <v>56882316077</v>
          </cell>
          <cell r="AC85" t="str">
            <v>PERMANENTE</v>
          </cell>
          <cell r="AD85" t="str">
            <v>QUERETARO</v>
          </cell>
          <cell r="AE85" t="str">
            <v>SOLTERO(A)</v>
          </cell>
          <cell r="AF85" t="str">
            <v>PROFESIONAL</v>
          </cell>
          <cell r="AG85" t="str">
            <v>(OMISION)</v>
          </cell>
          <cell r="AH85"/>
          <cell r="AI85"/>
          <cell r="AJ85" t="str">
            <v>danielacortez043@gmail.com</v>
          </cell>
          <cell r="AK85" t="str">
            <v>COSTO VARIABLE</v>
          </cell>
          <cell r="AL85" t="str">
            <v>AVIOR CAL</v>
          </cell>
          <cell r="AM85" t="str">
            <v>AV12 MULTICUENTAS EDOMX</v>
          </cell>
          <cell r="AN85"/>
          <cell r="AO85"/>
          <cell r="AP85" t="str">
            <v>10080585</v>
          </cell>
          <cell r="AR85" t="str">
            <v>Aministrativo</v>
          </cell>
        </row>
        <row r="86">
          <cell r="A86" t="str">
            <v>120581</v>
          </cell>
          <cell r="B86" t="str">
            <v>PEREZ HIDALGO JUANA SUGUEY</v>
          </cell>
          <cell r="C86" t="str">
            <v>AYUDANTE GENERAL</v>
          </cell>
          <cell r="D86" t="str">
            <v>SERVICIOS GENERALES</v>
          </cell>
          <cell r="E86" t="str">
            <v>AV01030109 CUOTA ADMINISTRATIVA LA EUROP</v>
          </cell>
          <cell r="F86" t="str">
            <v>17/01/2024</v>
          </cell>
          <cell r="G86"/>
          <cell r="H86" t="str">
            <v>REINGRESO</v>
          </cell>
          <cell r="I86" t="str">
            <v>RECONTRATACION</v>
          </cell>
          <cell r="J86">
            <v>248.93</v>
          </cell>
          <cell r="K86">
            <v>261.17</v>
          </cell>
          <cell r="L86" t="str">
            <v>SEM12</v>
          </cell>
          <cell r="M86" t="str">
            <v>12 SINDICALIZADO - TULTITLAN</v>
          </cell>
          <cell r="N86" t="str">
            <v>07/04/1976</v>
          </cell>
          <cell r="O86" t="str">
            <v>PEHJ760407BF2</v>
          </cell>
          <cell r="P86" t="str">
            <v>PEHJ760407MMCRDN01</v>
          </cell>
          <cell r="Q86" t="str">
            <v>07947609140</v>
          </cell>
          <cell r="R86" t="str">
            <v>OAXACA MZ10</v>
          </cell>
          <cell r="S86" t="str">
            <v>LT 170 66</v>
          </cell>
          <cell r="T86"/>
          <cell r="U86" t="str">
            <v>QUINTAS SANPABLO</v>
          </cell>
          <cell r="V86"/>
          <cell r="W86" t="str">
            <v>MEXICO</v>
          </cell>
          <cell r="X86">
            <v>54930</v>
          </cell>
          <cell r="Y86" t="str">
            <v>5573437355</v>
          </cell>
          <cell r="Z86"/>
          <cell r="AA86" t="str">
            <v>M</v>
          </cell>
          <cell r="AB86" t="str">
            <v>60601360315</v>
          </cell>
          <cell r="AC86" t="str">
            <v>PERMANENTE</v>
          </cell>
          <cell r="AD86" t="str">
            <v>QUERETARO</v>
          </cell>
          <cell r="AE86" t="str">
            <v>SOLTERO(A)</v>
          </cell>
          <cell r="AF86" t="str">
            <v>PRIMARIA</v>
          </cell>
          <cell r="AG86" t="str">
            <v>(OMISION)</v>
          </cell>
          <cell r="AH86"/>
          <cell r="AI86"/>
          <cell r="AJ86" t="str">
            <v>sugyph07@gmail.com</v>
          </cell>
          <cell r="AK86" t="str">
            <v>COSTO VARIABLE</v>
          </cell>
          <cell r="AL86" t="str">
            <v>AVIOR CAL</v>
          </cell>
          <cell r="AM86" t="str">
            <v>AV12 MULTICUENTAS EDOMX</v>
          </cell>
          <cell r="AN86"/>
          <cell r="AO86"/>
          <cell r="AP86" t="str">
            <v>10081133</v>
          </cell>
          <cell r="AR86" t="str">
            <v>Sindicalizado</v>
          </cell>
        </row>
        <row r="87">
          <cell r="A87" t="str">
            <v>120582</v>
          </cell>
          <cell r="B87" t="str">
            <v>AGUILAR GARCIA JUAN CARLOS</v>
          </cell>
          <cell r="C87" t="str">
            <v>AYUDANTE GENERAL</v>
          </cell>
          <cell r="D87" t="str">
            <v>SERVICIOS GENERALES</v>
          </cell>
          <cell r="E87" t="str">
            <v>AV01030109 CUOTA ADMINISTRATIVA LA EUROP</v>
          </cell>
          <cell r="F87" t="str">
            <v>24/01/2024</v>
          </cell>
          <cell r="G87"/>
          <cell r="H87" t="str">
            <v>ALTA</v>
          </cell>
          <cell r="I87" t="str">
            <v>CONTRATACION</v>
          </cell>
          <cell r="J87">
            <v>248.93</v>
          </cell>
          <cell r="K87">
            <v>261.17</v>
          </cell>
          <cell r="L87" t="str">
            <v>SEM12</v>
          </cell>
          <cell r="M87" t="str">
            <v>12 SINDICALIZADO - TULTITLAN</v>
          </cell>
          <cell r="N87" t="str">
            <v>19/10/2002</v>
          </cell>
          <cell r="O87" t="str">
            <v>AUGJ021019LQ7</v>
          </cell>
          <cell r="P87" t="str">
            <v>AUGJ021019HMCGRNA0</v>
          </cell>
          <cell r="Q87" t="str">
            <v>01170278400</v>
          </cell>
          <cell r="R87" t="str">
            <v>AV DE LAS TORRES 4</v>
          </cell>
          <cell r="S87"/>
          <cell r="T87"/>
          <cell r="U87" t="str">
            <v>SANTA CLARA CHILPAN</v>
          </cell>
          <cell r="V87"/>
          <cell r="W87" t="str">
            <v>MEXICO</v>
          </cell>
          <cell r="X87">
            <v>54944</v>
          </cell>
          <cell r="Y87" t="str">
            <v>7298267750</v>
          </cell>
          <cell r="Z87"/>
          <cell r="AA87" t="str">
            <v>H</v>
          </cell>
          <cell r="AB87" t="str">
            <v>56876354204</v>
          </cell>
          <cell r="AC87" t="str">
            <v>PERMANENTE</v>
          </cell>
          <cell r="AD87" t="str">
            <v>QUERETARO</v>
          </cell>
          <cell r="AE87" t="str">
            <v>SOLTERO(A)</v>
          </cell>
          <cell r="AF87" t="str">
            <v>BACHILLERATO</v>
          </cell>
          <cell r="AG87" t="str">
            <v>(OMISION)</v>
          </cell>
          <cell r="AH87"/>
          <cell r="AI87"/>
          <cell r="AJ87" t="str">
            <v>juaguilargarcia@gmail.com</v>
          </cell>
          <cell r="AK87" t="str">
            <v>COSTO VARIABLE</v>
          </cell>
          <cell r="AL87" t="str">
            <v>AVIOR CAL</v>
          </cell>
          <cell r="AM87" t="str">
            <v>AV12 MULTICUENTAS EDOMX</v>
          </cell>
          <cell r="AN87"/>
          <cell r="AO87"/>
          <cell r="AP87" t="str">
            <v>10081431</v>
          </cell>
          <cell r="AR87" t="str">
            <v>Sindicalizado</v>
          </cell>
        </row>
        <row r="88">
          <cell r="A88" t="str">
            <v>120583</v>
          </cell>
          <cell r="B88" t="str">
            <v>JIMENEZ AVILA DULCE YCIS</v>
          </cell>
          <cell r="C88" t="str">
            <v>SUPERVISOR DE SERVICIO AL CLIENTE</v>
          </cell>
          <cell r="D88" t="str">
            <v>SERVICIO AL CLIENTE</v>
          </cell>
          <cell r="E88" t="str">
            <v>AV01030116 CC D´GARI NUEVO TR</v>
          </cell>
          <cell r="F88" t="str">
            <v>24/01/2024</v>
          </cell>
          <cell r="G88"/>
          <cell r="H88" t="str">
            <v>REINGRESO</v>
          </cell>
          <cell r="I88" t="str">
            <v>RECONTRATACION</v>
          </cell>
          <cell r="J88">
            <v>533.33000000000004</v>
          </cell>
          <cell r="K88">
            <v>559.55999999999995</v>
          </cell>
          <cell r="L88" t="str">
            <v>SEM12</v>
          </cell>
          <cell r="M88" t="str">
            <v>12 CONFIANZA - TULTITLAN</v>
          </cell>
          <cell r="N88" t="str">
            <v>30/12/1979</v>
          </cell>
          <cell r="O88" t="str">
            <v>JIAD791230QQ5</v>
          </cell>
          <cell r="P88" t="str">
            <v>JIAD791230MTLMVL05</v>
          </cell>
          <cell r="Q88" t="str">
            <v>01977901931</v>
          </cell>
          <cell r="R88" t="str">
            <v>C SAN MARTIN CABALLERO</v>
          </cell>
          <cell r="S88" t="str">
            <v>MZ 16 LT 61 31</v>
          </cell>
          <cell r="T88"/>
          <cell r="U88" t="str">
            <v>FRACC LOMAS DE SAN FCO  TEPOJA</v>
          </cell>
          <cell r="V88"/>
          <cell r="W88" t="str">
            <v>MEXICO</v>
          </cell>
          <cell r="X88">
            <v>54745</v>
          </cell>
          <cell r="Y88" t="str">
            <v>5566092185</v>
          </cell>
          <cell r="Z88"/>
          <cell r="AA88" t="str">
            <v>M</v>
          </cell>
          <cell r="AB88" t="str">
            <v>56807683614</v>
          </cell>
          <cell r="AC88" t="str">
            <v>PERMANENTE</v>
          </cell>
          <cell r="AD88" t="str">
            <v>TLAXCALA</v>
          </cell>
          <cell r="AE88" t="str">
            <v>CASADO(A)</v>
          </cell>
          <cell r="AF88" t="str">
            <v>PROFESIONAL</v>
          </cell>
          <cell r="AG88" t="str">
            <v>(OMISION)</v>
          </cell>
          <cell r="AH88"/>
          <cell r="AI88"/>
          <cell r="AJ88" t="str">
            <v>dy24_ak@yahoo.com.mx</v>
          </cell>
          <cell r="AK88" t="str">
            <v>COSTO VARIABLE</v>
          </cell>
          <cell r="AL88" t="str">
            <v>AVIOR CAL</v>
          </cell>
          <cell r="AM88" t="str">
            <v>AV12 MULTICUENTAS EDOMX</v>
          </cell>
          <cell r="AN88"/>
          <cell r="AO88"/>
          <cell r="AP88" t="str">
            <v>10028720</v>
          </cell>
          <cell r="AR88" t="str">
            <v>Aministrativo</v>
          </cell>
        </row>
        <row r="89">
          <cell r="A89" t="str">
            <v>120584</v>
          </cell>
          <cell r="B89" t="str">
            <v>LARA TORRES JHULIANA</v>
          </cell>
          <cell r="C89" t="str">
            <v>AYUDANTE GENERAL</v>
          </cell>
          <cell r="D89" t="str">
            <v>PLANEACION Y LOGISTICA</v>
          </cell>
          <cell r="E89" t="str">
            <v>AV01030103 LA PASTORA ALMACENAJE</v>
          </cell>
          <cell r="F89" t="str">
            <v>24/01/2024</v>
          </cell>
          <cell r="G89" t="str">
            <v>06/02/2024</v>
          </cell>
          <cell r="H89" t="str">
            <v>BAJA</v>
          </cell>
          <cell r="I89" t="str">
            <v>SEPARACION VOLUNTARIA</v>
          </cell>
          <cell r="J89">
            <v>248.93</v>
          </cell>
          <cell r="K89">
            <v>261.17</v>
          </cell>
          <cell r="L89" t="str">
            <v>SEM12</v>
          </cell>
          <cell r="M89" t="str">
            <v>12 SINDICALIZADO - TULTITLAN</v>
          </cell>
          <cell r="N89" t="str">
            <v>01/08/2003</v>
          </cell>
          <cell r="O89" t="str">
            <v>LATJ0308019B7</v>
          </cell>
          <cell r="P89" t="str">
            <v>LATJ030801MMCRRHA6</v>
          </cell>
          <cell r="Q89" t="str">
            <v>17180346904</v>
          </cell>
          <cell r="R89" t="str">
            <v>CTO HACIEDA LAS MARGARIT 49-B</v>
          </cell>
          <cell r="S89" t="str">
            <v>MZ 59 LT 6</v>
          </cell>
          <cell r="T89"/>
          <cell r="U89" t="str">
            <v>HACIENDA REAL DE TULTEPEC</v>
          </cell>
          <cell r="V89"/>
          <cell r="W89" t="str">
            <v>MEXICO</v>
          </cell>
          <cell r="X89">
            <v>54981</v>
          </cell>
          <cell r="Y89" t="str">
            <v>7712887996</v>
          </cell>
          <cell r="Z89"/>
          <cell r="AA89" t="str">
            <v>M</v>
          </cell>
          <cell r="AB89" t="str">
            <v>56876354218</v>
          </cell>
          <cell r="AC89" t="str">
            <v>PERMANENTE</v>
          </cell>
          <cell r="AD89" t="str">
            <v>QUERETARO</v>
          </cell>
          <cell r="AE89" t="str">
            <v>SOLTERO(A)</v>
          </cell>
          <cell r="AF89" t="str">
            <v>BACHILLERATO</v>
          </cell>
          <cell r="AG89" t="str">
            <v>(OMISION)</v>
          </cell>
          <cell r="AH89"/>
          <cell r="AI89"/>
          <cell r="AJ89" t="str">
            <v>yulelara554@gmail.com</v>
          </cell>
          <cell r="AK89" t="str">
            <v>COSTO VARIABLE</v>
          </cell>
          <cell r="AL89" t="str">
            <v>AVIOR CAL</v>
          </cell>
          <cell r="AM89" t="str">
            <v>AV12 MULTICUENTAS EDOMX</v>
          </cell>
          <cell r="AN89"/>
          <cell r="AO89"/>
          <cell r="AP89" t="str">
            <v>10081432</v>
          </cell>
          <cell r="AR89" t="str">
            <v>Sindicalizado</v>
          </cell>
        </row>
        <row r="90">
          <cell r="A90" t="str">
            <v>120585</v>
          </cell>
          <cell r="B90" t="str">
            <v>OCAMPO MALDONADO JOSE LUIS</v>
          </cell>
          <cell r="C90" t="str">
            <v>AYUDANTE GENERAL</v>
          </cell>
          <cell r="D90" t="str">
            <v>SERVICIOS GENERALES</v>
          </cell>
          <cell r="E90" t="str">
            <v>AV01030109 CUOTA ADMINISTRATIVA LA EUROP</v>
          </cell>
          <cell r="F90" t="str">
            <v>31/01/2024</v>
          </cell>
          <cell r="G90"/>
          <cell r="H90" t="str">
            <v>ALTA</v>
          </cell>
          <cell r="I90" t="str">
            <v>CONTRATACION</v>
          </cell>
          <cell r="J90">
            <v>248.93</v>
          </cell>
          <cell r="K90">
            <v>261.17</v>
          </cell>
          <cell r="L90" t="str">
            <v>SEM12</v>
          </cell>
          <cell r="M90" t="str">
            <v>12 SINDICALIZADO - TULTITLAN</v>
          </cell>
          <cell r="N90" t="str">
            <v>27/03/1975</v>
          </cell>
          <cell r="O90" t="str">
            <v>OAML750327IQ2</v>
          </cell>
          <cell r="P90" t="str">
            <v>OAML750327HDFCLS06</v>
          </cell>
          <cell r="Q90" t="str">
            <v>90027501973</v>
          </cell>
          <cell r="R90" t="str">
            <v>MARIA MAZARELO MZ LT 31 CASA 1</v>
          </cell>
          <cell r="S90"/>
          <cell r="T90"/>
          <cell r="U90" t="str">
            <v>HEROES COACALCO 1ER SECCION</v>
          </cell>
          <cell r="V90"/>
          <cell r="W90" t="str">
            <v>MEXICO</v>
          </cell>
          <cell r="X90">
            <v>55712</v>
          </cell>
          <cell r="Y90" t="str">
            <v>5572212118</v>
          </cell>
          <cell r="Z90"/>
          <cell r="AA90" t="str">
            <v>H</v>
          </cell>
          <cell r="AB90" t="str">
            <v>56884578597</v>
          </cell>
          <cell r="AC90" t="str">
            <v>PERMANENTE</v>
          </cell>
          <cell r="AD90" t="str">
            <v>QUERETARO</v>
          </cell>
          <cell r="AE90" t="str">
            <v>CASADO(A)</v>
          </cell>
          <cell r="AF90" t="str">
            <v>SECUNDARIA</v>
          </cell>
          <cell r="AG90" t="str">
            <v>(OMISION)</v>
          </cell>
          <cell r="AH90"/>
          <cell r="AI90"/>
          <cell r="AJ90" t="str">
            <v>pepe270375@gmail.com</v>
          </cell>
          <cell r="AK90" t="str">
            <v>COSTO VARIABLE</v>
          </cell>
          <cell r="AL90" t="str">
            <v>AVIOR CAL</v>
          </cell>
          <cell r="AM90" t="str">
            <v>AV12 MULTICUENTAS EDOMX</v>
          </cell>
          <cell r="AN90"/>
          <cell r="AO90"/>
          <cell r="AP90" t="str">
            <v>10081640</v>
          </cell>
          <cell r="AR90" t="str">
            <v>Sindicalizado</v>
          </cell>
        </row>
        <row r="91">
          <cell r="A91" t="str">
            <v>150645</v>
          </cell>
          <cell r="B91" t="str">
            <v>FLORES ALEMAN CARLA KARINA</v>
          </cell>
          <cell r="C91" t="str">
            <v>AUXILIAR DE LOGISTICA</v>
          </cell>
          <cell r="D91" t="str">
            <v>PLANEACION Y LOGISTICA</v>
          </cell>
          <cell r="E91" t="str">
            <v>AV01020501 SODIMAC VE MEX ALMACENAJE</v>
          </cell>
          <cell r="F91" t="str">
            <v>05/01/2024</v>
          </cell>
          <cell r="G91"/>
          <cell r="H91" t="str">
            <v>ALTA</v>
          </cell>
          <cell r="I91" t="str">
            <v>CONTRATACION</v>
          </cell>
          <cell r="J91">
            <v>248.93</v>
          </cell>
          <cell r="K91">
            <v>261.17</v>
          </cell>
          <cell r="L91" t="str">
            <v>SEM15</v>
          </cell>
          <cell r="M91" t="str">
            <v>15 CONFIANZA - CAPLAN</v>
          </cell>
          <cell r="N91" t="str">
            <v>20/12/1999</v>
          </cell>
          <cell r="O91" t="str">
            <v>FOAC991220HD6</v>
          </cell>
          <cell r="P91" t="str">
            <v>FOAC991220MMCLLR03</v>
          </cell>
          <cell r="Q91" t="str">
            <v>26179961094</v>
          </cell>
          <cell r="R91" t="str">
            <v>COND 4 C 12</v>
          </cell>
          <cell r="S91"/>
          <cell r="T91"/>
          <cell r="U91" t="str">
            <v>JARDINES DE LOS CLAUSTROS VI</v>
          </cell>
          <cell r="V91"/>
          <cell r="W91" t="str">
            <v>MEXICO</v>
          </cell>
          <cell r="X91">
            <v>54929</v>
          </cell>
          <cell r="Y91" t="str">
            <v>5573261238</v>
          </cell>
          <cell r="Z91"/>
          <cell r="AA91" t="str">
            <v>M</v>
          </cell>
          <cell r="AB91" t="str">
            <v>56882400641</v>
          </cell>
          <cell r="AC91" t="str">
            <v>PERMANENTE</v>
          </cell>
          <cell r="AD91" t="str">
            <v>MEXICO</v>
          </cell>
          <cell r="AE91" t="str">
            <v>SOLTERO(A)</v>
          </cell>
          <cell r="AF91" t="str">
            <v>BACHILLERATO</v>
          </cell>
          <cell r="AG91" t="str">
            <v>(OMISION)</v>
          </cell>
          <cell r="AH91"/>
          <cell r="AI91"/>
          <cell r="AJ91" t="str">
            <v>karlyfloo94@gmail.com</v>
          </cell>
          <cell r="AK91" t="str">
            <v>COSTO VARIABLE</v>
          </cell>
          <cell r="AL91" t="str">
            <v>AVIOR CAL</v>
          </cell>
          <cell r="AM91" t="str">
            <v>AV15 SODIMAC CAPLAN EDOMX</v>
          </cell>
          <cell r="AN91"/>
          <cell r="AO91"/>
          <cell r="AP91" t="str">
            <v>10080630</v>
          </cell>
          <cell r="AR91" t="str">
            <v>Aministrativo</v>
          </cell>
        </row>
        <row r="92">
          <cell r="A92" t="str">
            <v>150646</v>
          </cell>
          <cell r="B92" t="str">
            <v>GUERRERO FLORES DIANA JULIETA</v>
          </cell>
          <cell r="C92" t="str">
            <v>AUXILIAR DE LOGISTICA</v>
          </cell>
          <cell r="D92" t="str">
            <v>PLANEACION Y LOGISTICA</v>
          </cell>
          <cell r="E92" t="str">
            <v>AV01020501 SODIMAC VE MEX ALMACENAJE</v>
          </cell>
          <cell r="F92" t="str">
            <v>05/01/2024</v>
          </cell>
          <cell r="G92"/>
          <cell r="H92" t="str">
            <v>ALTA</v>
          </cell>
          <cell r="I92" t="str">
            <v>CONTRATACION</v>
          </cell>
          <cell r="J92">
            <v>248.93</v>
          </cell>
          <cell r="K92">
            <v>261.17</v>
          </cell>
          <cell r="L92" t="str">
            <v>SEM15</v>
          </cell>
          <cell r="M92" t="str">
            <v>15 CONFIANZA - CAPLAN</v>
          </cell>
          <cell r="N92" t="str">
            <v>19/10/1989</v>
          </cell>
          <cell r="O92" t="str">
            <v>GUFD8910195PA</v>
          </cell>
          <cell r="P92" t="str">
            <v>GUFD891019MDFRLN08</v>
          </cell>
          <cell r="Q92" t="str">
            <v>94088941185</v>
          </cell>
          <cell r="R92" t="str">
            <v>COND I 20</v>
          </cell>
          <cell r="S92"/>
          <cell r="T92"/>
          <cell r="U92" t="str">
            <v>FRACC EL RELOJ LT 46</v>
          </cell>
          <cell r="V92"/>
          <cell r="W92" t="str">
            <v>MEXICO</v>
          </cell>
          <cell r="X92">
            <v>54938</v>
          </cell>
          <cell r="Y92" t="str">
            <v>5567891298</v>
          </cell>
          <cell r="Z92"/>
          <cell r="AA92" t="str">
            <v>M</v>
          </cell>
          <cell r="AB92" t="str">
            <v>56882379696</v>
          </cell>
          <cell r="AC92" t="str">
            <v>PERMANENTE</v>
          </cell>
          <cell r="AD92" t="str">
            <v>QUERETARO</v>
          </cell>
          <cell r="AE92" t="str">
            <v>SOLTERO(A)</v>
          </cell>
          <cell r="AF92" t="str">
            <v>BACHILLERATO</v>
          </cell>
          <cell r="AG92" t="str">
            <v>(OMISION)</v>
          </cell>
          <cell r="AH92"/>
          <cell r="AI92"/>
          <cell r="AJ92" t="str">
            <v>guerrerodiana2323@gmail.com</v>
          </cell>
          <cell r="AK92" t="str">
            <v>COSTO VARIABLE</v>
          </cell>
          <cell r="AL92" t="str">
            <v>AVIOR CAL</v>
          </cell>
          <cell r="AM92" t="str">
            <v>AV15 SODIMAC CAPLAN EDOMX</v>
          </cell>
          <cell r="AN92"/>
          <cell r="AO92"/>
          <cell r="AP92" t="str">
            <v>10080590</v>
          </cell>
          <cell r="AR92" t="str">
            <v>Aministrativo</v>
          </cell>
        </row>
        <row r="93">
          <cell r="A93" t="str">
            <v>150647</v>
          </cell>
          <cell r="B93" t="str">
            <v>HERNANDEZ SANTIN DANIEL</v>
          </cell>
          <cell r="C93" t="str">
            <v>AYUDANTE GENERAL</v>
          </cell>
          <cell r="D93" t="str">
            <v>OPERACIONES</v>
          </cell>
          <cell r="E93" t="str">
            <v>AV01020501 SODIMAC VE MEX ALMACENAJE</v>
          </cell>
          <cell r="F93" t="str">
            <v>05/01/2024</v>
          </cell>
          <cell r="G93" t="str">
            <v>16/01/2024</v>
          </cell>
          <cell r="H93" t="str">
            <v>BAJA</v>
          </cell>
          <cell r="I93" t="str">
            <v>ABANDONO DE EMPLEO</v>
          </cell>
          <cell r="J93">
            <v>248.93</v>
          </cell>
          <cell r="K93">
            <v>261.17</v>
          </cell>
          <cell r="L93" t="str">
            <v>SEM15</v>
          </cell>
          <cell r="M93" t="str">
            <v>15 CONFIANZA - CAPLAN</v>
          </cell>
          <cell r="N93" t="str">
            <v>20/01/1975</v>
          </cell>
          <cell r="O93" t="str">
            <v>HESD750120NE2</v>
          </cell>
          <cell r="P93" t="str">
            <v>HESD750120HDFRNN05</v>
          </cell>
          <cell r="Q93" t="str">
            <v>92937512322</v>
          </cell>
          <cell r="R93" t="str">
            <v>FUENTES DE VULCANO 61 B</v>
          </cell>
          <cell r="S93"/>
          <cell r="T93"/>
          <cell r="U93" t="str">
            <v>FRACC FUENTES DEL VALLE</v>
          </cell>
          <cell r="V93"/>
          <cell r="W93" t="str">
            <v>MEXICO</v>
          </cell>
          <cell r="X93">
            <v>54910</v>
          </cell>
          <cell r="Y93" t="str">
            <v>5582934359</v>
          </cell>
          <cell r="Z93"/>
          <cell r="AA93" t="str">
            <v>H</v>
          </cell>
          <cell r="AB93" t="str">
            <v>56882314122</v>
          </cell>
          <cell r="AC93" t="str">
            <v>PERMANENTE</v>
          </cell>
          <cell r="AD93" t="str">
            <v>QUERETARO</v>
          </cell>
          <cell r="AE93" t="str">
            <v>CASADO(A)</v>
          </cell>
          <cell r="AF93" t="str">
            <v>SECUNDARIA</v>
          </cell>
          <cell r="AG93" t="str">
            <v>(OMISION)</v>
          </cell>
          <cell r="AH93"/>
          <cell r="AI93"/>
          <cell r="AJ93" t="str">
            <v>yogui392@gmail.com</v>
          </cell>
          <cell r="AK93" t="str">
            <v>COSTO VARIABLE</v>
          </cell>
          <cell r="AL93" t="str">
            <v>AVIOR CAL</v>
          </cell>
          <cell r="AM93" t="str">
            <v>AV15 SODIMAC CAPLAN EDOMX</v>
          </cell>
          <cell r="AN93"/>
          <cell r="AO93"/>
          <cell r="AP93" t="str">
            <v>10080599</v>
          </cell>
          <cell r="AR93" t="str">
            <v>Aministrativo</v>
          </cell>
        </row>
        <row r="94">
          <cell r="A94" t="str">
            <v>150648</v>
          </cell>
          <cell r="B94" t="str">
            <v>MENDOZA DIAZ ERICK IVAN</v>
          </cell>
          <cell r="C94" t="str">
            <v>VERIFICADOR</v>
          </cell>
          <cell r="D94" t="str">
            <v>PLANEACION Y LOGISTICA</v>
          </cell>
          <cell r="E94" t="str">
            <v>AV01020501 SODIMAC VE MEX ALMACENAJE</v>
          </cell>
          <cell r="F94" t="str">
            <v>05/01/2024</v>
          </cell>
          <cell r="G94" t="str">
            <v>24/01/2024</v>
          </cell>
          <cell r="H94" t="str">
            <v>BAJA</v>
          </cell>
          <cell r="I94" t="str">
            <v>ABANDONO DE EMPLEO</v>
          </cell>
          <cell r="J94">
            <v>248.93</v>
          </cell>
          <cell r="K94">
            <v>261.17</v>
          </cell>
          <cell r="L94" t="str">
            <v>SEM15</v>
          </cell>
          <cell r="M94" t="str">
            <v>15 CONFIANZA - CAPLAN</v>
          </cell>
          <cell r="N94" t="str">
            <v>06/11/2002</v>
          </cell>
          <cell r="O94" t="str">
            <v>MEDE021106UM8</v>
          </cell>
          <cell r="P94" t="str">
            <v>MEDE021106HMCNZRA0</v>
          </cell>
          <cell r="Q94" t="str">
            <v>13170237054</v>
          </cell>
          <cell r="R94" t="str">
            <v>EUCALIPTOS MZ 3 LT 10 COND 12</v>
          </cell>
          <cell r="S94"/>
          <cell r="T94"/>
          <cell r="U94" t="str">
            <v>LOS PORTALES</v>
          </cell>
          <cell r="V94"/>
          <cell r="W94" t="str">
            <v>MEXICO</v>
          </cell>
          <cell r="X94">
            <v>54910</v>
          </cell>
          <cell r="Y94" t="str">
            <v>5576935117</v>
          </cell>
          <cell r="Z94"/>
          <cell r="AA94" t="str">
            <v>H</v>
          </cell>
          <cell r="AB94" t="str">
            <v>56882377249</v>
          </cell>
          <cell r="AC94" t="str">
            <v>PERMANENTE</v>
          </cell>
          <cell r="AD94" t="str">
            <v>MEXICO</v>
          </cell>
          <cell r="AE94" t="str">
            <v>CASADO(A)</v>
          </cell>
          <cell r="AF94" t="str">
            <v>BACHILLERATO</v>
          </cell>
          <cell r="AG94" t="str">
            <v>(OMISION)</v>
          </cell>
          <cell r="AH94"/>
          <cell r="AI94"/>
          <cell r="AJ94" t="str">
            <v>erickivanmendoa23@gmail.com</v>
          </cell>
          <cell r="AK94" t="str">
            <v>COSTO VARIABLE</v>
          </cell>
          <cell r="AL94" t="str">
            <v>AVIOR CAL</v>
          </cell>
          <cell r="AM94" t="str">
            <v>AV15 SODIMAC CAPLAN EDOMX</v>
          </cell>
          <cell r="AN94"/>
          <cell r="AO94"/>
          <cell r="AP94" t="str">
            <v>10080634</v>
          </cell>
          <cell r="AR94" t="str">
            <v>Aministrativo</v>
          </cell>
        </row>
        <row r="95">
          <cell r="A95" t="str">
            <v>150649</v>
          </cell>
          <cell r="B95" t="str">
            <v>SEGUNDO AMADOR AGUSTIN DE JESUS</v>
          </cell>
          <cell r="C95" t="str">
            <v>AYUDANTE GENERAL</v>
          </cell>
          <cell r="D95" t="str">
            <v>OPERACIONES</v>
          </cell>
          <cell r="E95" t="str">
            <v>AV01020501 SODIMAC VE MEX ALMACENAJE</v>
          </cell>
          <cell r="F95" t="str">
            <v>05/01/2024</v>
          </cell>
          <cell r="G95" t="str">
            <v>16/01/2024</v>
          </cell>
          <cell r="H95" t="str">
            <v>BAJA</v>
          </cell>
          <cell r="I95" t="str">
            <v>ABANDONO DE EMPLEO</v>
          </cell>
          <cell r="J95">
            <v>248.93</v>
          </cell>
          <cell r="K95">
            <v>261.17</v>
          </cell>
          <cell r="L95" t="str">
            <v>SEM15</v>
          </cell>
          <cell r="M95" t="str">
            <v>15 SINDICALIZADO - CAPLAN</v>
          </cell>
          <cell r="N95" t="str">
            <v>29/11/2003</v>
          </cell>
          <cell r="O95" t="str">
            <v>SEAA031129CS3</v>
          </cell>
          <cell r="P95" t="str">
            <v>SEAA031129HPLGMGA7</v>
          </cell>
          <cell r="Q95" t="str">
            <v>59170388595</v>
          </cell>
          <cell r="R95" t="str">
            <v>FUENTE DE EROS 7101</v>
          </cell>
          <cell r="S95"/>
          <cell r="T95"/>
          <cell r="U95" t="str">
            <v>FRACC FUENTES DEL VALLE</v>
          </cell>
          <cell r="V95"/>
          <cell r="W95" t="str">
            <v>MEXICO</v>
          </cell>
          <cell r="X95">
            <v>54910</v>
          </cell>
          <cell r="Y95" t="str">
            <v>5639736786</v>
          </cell>
          <cell r="Z95"/>
          <cell r="AA95" t="str">
            <v>H</v>
          </cell>
          <cell r="AB95" t="str">
            <v>56882345846</v>
          </cell>
          <cell r="AC95" t="str">
            <v>PERMANENTE</v>
          </cell>
          <cell r="AD95" t="str">
            <v>PUEBLA</v>
          </cell>
          <cell r="AE95" t="str">
            <v>SOLTERO(A)</v>
          </cell>
          <cell r="AF95" t="str">
            <v>SECUNDARIA</v>
          </cell>
          <cell r="AG95" t="str">
            <v>(OMISION)</v>
          </cell>
          <cell r="AH95"/>
          <cell r="AI95"/>
          <cell r="AJ95" t="str">
            <v>agussegundo95@gmail.com</v>
          </cell>
          <cell r="AK95" t="str">
            <v>COSTO VARIABLE</v>
          </cell>
          <cell r="AL95" t="str">
            <v>AVIOR CAL</v>
          </cell>
          <cell r="AM95" t="str">
            <v>AV15 SODIMAC CAPLAN EDOMX</v>
          </cell>
          <cell r="AN95"/>
          <cell r="AO95"/>
          <cell r="AP95" t="str">
            <v>10080620</v>
          </cell>
          <cell r="AR95" t="str">
            <v>Sindicalizado</v>
          </cell>
        </row>
        <row r="96">
          <cell r="A96" t="str">
            <v>150650</v>
          </cell>
          <cell r="B96" t="str">
            <v>MIRELES DIAZ MARIO ALBERTO</v>
          </cell>
          <cell r="C96" t="str">
            <v>AYUDANTE GENERAL</v>
          </cell>
          <cell r="D96" t="str">
            <v>OPERACIONES</v>
          </cell>
          <cell r="E96" t="str">
            <v>AV01020501 SODIMAC VE MEX ALMACENAJE</v>
          </cell>
          <cell r="F96" t="str">
            <v>12/01/2024</v>
          </cell>
          <cell r="G96"/>
          <cell r="H96" t="str">
            <v>ALTA</v>
          </cell>
          <cell r="I96" t="str">
            <v>CONTRATACION</v>
          </cell>
          <cell r="J96">
            <v>248.93</v>
          </cell>
          <cell r="K96">
            <v>261.17</v>
          </cell>
          <cell r="L96" t="str">
            <v>SEM15</v>
          </cell>
          <cell r="M96" t="str">
            <v>15 SINDICALIZADO - CAPLAN</v>
          </cell>
          <cell r="N96" t="str">
            <v>10/02/1989</v>
          </cell>
          <cell r="O96" t="str">
            <v>MIDM890210E34</v>
          </cell>
          <cell r="P96" t="str">
            <v>MIDM890210HMCRZR09</v>
          </cell>
          <cell r="Q96" t="str">
            <v>92098914275</v>
          </cell>
          <cell r="R96" t="str">
            <v>ISLA 23</v>
          </cell>
          <cell r="S96"/>
          <cell r="T96"/>
          <cell r="U96" t="str">
            <v>ALBORADA JALTENCO</v>
          </cell>
          <cell r="V96"/>
          <cell r="W96" t="str">
            <v>MEXICO</v>
          </cell>
          <cell r="X96">
            <v>55783</v>
          </cell>
          <cell r="Y96" t="str">
            <v>5627181920</v>
          </cell>
          <cell r="Z96"/>
          <cell r="AA96" t="str">
            <v>H</v>
          </cell>
          <cell r="AB96" t="str">
            <v>56678569031</v>
          </cell>
          <cell r="AC96" t="str">
            <v>PERMANENTE</v>
          </cell>
          <cell r="AD96" t="str">
            <v>MEXICO</v>
          </cell>
          <cell r="AE96" t="str">
            <v>SOLTERO(A)</v>
          </cell>
          <cell r="AF96" t="str">
            <v>SECUNDARIA</v>
          </cell>
          <cell r="AG96" t="str">
            <v>(OMISION)</v>
          </cell>
          <cell r="AH96"/>
          <cell r="AI96"/>
          <cell r="AJ96" t="str">
            <v>marioalberto98@gmail.com</v>
          </cell>
          <cell r="AK96" t="str">
            <v>COSTO VARIABLE</v>
          </cell>
          <cell r="AL96" t="str">
            <v>AVIOR CAL</v>
          </cell>
          <cell r="AM96" t="str">
            <v>AV15 SODIMAC CAPLAN EDOMX</v>
          </cell>
          <cell r="AN96"/>
          <cell r="AO96"/>
          <cell r="AP96" t="str">
            <v>10080994</v>
          </cell>
          <cell r="AR96" t="str">
            <v>Sindicalizado</v>
          </cell>
        </row>
        <row r="97">
          <cell r="A97" t="str">
            <v>150651</v>
          </cell>
          <cell r="B97" t="str">
            <v>GONZALEZ MENDOZA SAUL ALONSO</v>
          </cell>
          <cell r="C97" t="str">
            <v>VERIFICADOR</v>
          </cell>
          <cell r="D97" t="str">
            <v>PLANEACION Y LOGISTICA</v>
          </cell>
          <cell r="E97" t="str">
            <v>AV01020501 SODIMAC VE MEX ALMACENAJE</v>
          </cell>
          <cell r="F97" t="str">
            <v>17/01/2024</v>
          </cell>
          <cell r="G97" t="str">
            <v>24/01/2024</v>
          </cell>
          <cell r="H97" t="str">
            <v>BAJA</v>
          </cell>
          <cell r="I97" t="str">
            <v>ABANDONO DE EMPLEO</v>
          </cell>
          <cell r="J97">
            <v>248.93</v>
          </cell>
          <cell r="K97">
            <v>261.17</v>
          </cell>
          <cell r="L97" t="str">
            <v>SEM15</v>
          </cell>
          <cell r="M97" t="str">
            <v>15 CONFIANZA - CAPLAN</v>
          </cell>
          <cell r="N97" t="str">
            <v>02/04/2000</v>
          </cell>
          <cell r="O97" t="str">
            <v>GOMS000402R50</v>
          </cell>
          <cell r="P97" t="str">
            <v>GOMS000402HDFNNLA1</v>
          </cell>
          <cell r="Q97" t="str">
            <v>92150013511</v>
          </cell>
          <cell r="R97" t="str">
            <v>PRIV LIMON 268</v>
          </cell>
          <cell r="S97"/>
          <cell r="T97"/>
          <cell r="U97" t="str">
            <v>U HAB LT 62</v>
          </cell>
          <cell r="V97"/>
          <cell r="W97" t="str">
            <v>MEXICO</v>
          </cell>
          <cell r="X97">
            <v>54938</v>
          </cell>
          <cell r="Y97" t="str">
            <v>5543088102</v>
          </cell>
          <cell r="Z97"/>
          <cell r="AA97" t="str">
            <v>H</v>
          </cell>
          <cell r="AB97" t="str">
            <v>56882018642</v>
          </cell>
          <cell r="AC97" t="str">
            <v>PERMANENTE</v>
          </cell>
          <cell r="AD97" t="str">
            <v>DISTRITO FEDERAL</v>
          </cell>
          <cell r="AE97" t="str">
            <v>SOLTERO(A)</v>
          </cell>
          <cell r="AF97" t="str">
            <v>BACHILLERATO</v>
          </cell>
          <cell r="AG97" t="str">
            <v>(OMISION)</v>
          </cell>
          <cell r="AH97"/>
          <cell r="AI97"/>
          <cell r="AJ97" t="str">
            <v>saulstrexi02@gmail.com</v>
          </cell>
          <cell r="AK97" t="str">
            <v>COSTO VARIABLE</v>
          </cell>
          <cell r="AL97" t="str">
            <v>AVIOR CAL</v>
          </cell>
          <cell r="AM97" t="str">
            <v>AV15 SODIMAC CAPLAN EDOMX</v>
          </cell>
          <cell r="AN97"/>
          <cell r="AO97"/>
          <cell r="AP97" t="str">
            <v>10081203</v>
          </cell>
          <cell r="AR97" t="str">
            <v>Aministrativo</v>
          </cell>
        </row>
        <row r="98">
          <cell r="A98" t="str">
            <v>150652</v>
          </cell>
          <cell r="B98" t="str">
            <v>LUNA RIVAS MAURICIO</v>
          </cell>
          <cell r="C98" t="str">
            <v>AYUDANTE GENERAL</v>
          </cell>
          <cell r="D98" t="str">
            <v>OPERACIONES</v>
          </cell>
          <cell r="E98" t="str">
            <v>AV01020501 SODIMAC VE MEX ALMACENAJE</v>
          </cell>
          <cell r="F98" t="str">
            <v>19/01/2024</v>
          </cell>
          <cell r="G98"/>
          <cell r="H98" t="str">
            <v>ALTA</v>
          </cell>
          <cell r="I98" t="str">
            <v>CONTRATACION</v>
          </cell>
          <cell r="J98">
            <v>248.93</v>
          </cell>
          <cell r="K98">
            <v>261.17</v>
          </cell>
          <cell r="L98" t="str">
            <v>SEM15</v>
          </cell>
          <cell r="M98" t="str">
            <v>15 SINDICALIZADO - CAPLAN</v>
          </cell>
          <cell r="N98" t="str">
            <v>02/11/1998</v>
          </cell>
          <cell r="O98" t="str">
            <v>LURM981102AR5</v>
          </cell>
          <cell r="P98" t="str">
            <v>LURM981102HDFNVR02</v>
          </cell>
          <cell r="Q98" t="str">
            <v>10179816391</v>
          </cell>
          <cell r="R98" t="str">
            <v>REVOLUCION MZ 75 LT 15</v>
          </cell>
          <cell r="S98"/>
          <cell r="T98"/>
          <cell r="U98" t="str">
            <v>LA LIBERTAD</v>
          </cell>
          <cell r="V98"/>
          <cell r="W98" t="str">
            <v>MEXICO</v>
          </cell>
          <cell r="X98">
            <v>54942</v>
          </cell>
          <cell r="Y98" t="str">
            <v>661114845</v>
          </cell>
          <cell r="Z98"/>
          <cell r="AA98" t="str">
            <v>H</v>
          </cell>
          <cell r="AB98" t="str">
            <v>56870981917</v>
          </cell>
          <cell r="AC98" t="str">
            <v>PERMANENTE</v>
          </cell>
          <cell r="AD98" t="str">
            <v>DISTRITO FEDERAL</v>
          </cell>
          <cell r="AE98" t="str">
            <v>UNION LIBRE</v>
          </cell>
          <cell r="AF98" t="str">
            <v>SECUNDARIA</v>
          </cell>
          <cell r="AG98" t="str">
            <v>(OMISION)</v>
          </cell>
          <cell r="AH98"/>
          <cell r="AI98"/>
          <cell r="AJ98" t="str">
            <v>lunamau47@gmail.com</v>
          </cell>
          <cell r="AK98" t="str">
            <v>COSTO VARIABLE</v>
          </cell>
          <cell r="AL98" t="str">
            <v>AVIOR CAL</v>
          </cell>
          <cell r="AM98" t="str">
            <v>AV15 SODIMAC CAPLAN EDOMX</v>
          </cell>
          <cell r="AN98"/>
          <cell r="AO98"/>
          <cell r="AP98" t="str">
            <v>10081293</v>
          </cell>
          <cell r="AR98" t="str">
            <v>Sindicalizado</v>
          </cell>
        </row>
        <row r="99">
          <cell r="A99" t="str">
            <v>150653</v>
          </cell>
          <cell r="B99" t="str">
            <v>CARMONA BRAVO GUSTAVO</v>
          </cell>
          <cell r="C99" t="str">
            <v>AYUDANTE GENERAL</v>
          </cell>
          <cell r="D99" t="str">
            <v>OPERACIONES</v>
          </cell>
          <cell r="E99" t="str">
            <v>AV01020501 SODIMAC VE MEX ALMACENAJE</v>
          </cell>
          <cell r="F99" t="str">
            <v>23/01/2024</v>
          </cell>
          <cell r="G99"/>
          <cell r="H99" t="str">
            <v>ALTA</v>
          </cell>
          <cell r="I99" t="str">
            <v>CONTRATACION</v>
          </cell>
          <cell r="J99">
            <v>248.93</v>
          </cell>
          <cell r="K99">
            <v>261.17</v>
          </cell>
          <cell r="L99" t="str">
            <v>SEM15</v>
          </cell>
          <cell r="M99" t="str">
            <v>15 SINDICALIZADO - CAPLAN</v>
          </cell>
          <cell r="N99" t="str">
            <v>15/04/1965</v>
          </cell>
          <cell r="O99" t="str">
            <v>CABG650415EF9</v>
          </cell>
          <cell r="P99" t="str">
            <v>CABG650415HDFRRS04</v>
          </cell>
          <cell r="Q99" t="str">
            <v>42846543637</v>
          </cell>
          <cell r="R99" t="str">
            <v>BOULEVARD DE LAS ROSAS 231</v>
          </cell>
          <cell r="S99"/>
          <cell r="T99"/>
          <cell r="U99" t="str">
            <v>FRACC VILLA DE LAS FLORES</v>
          </cell>
          <cell r="V99"/>
          <cell r="W99" t="str">
            <v>MEXICO</v>
          </cell>
          <cell r="X99">
            <v>55710</v>
          </cell>
          <cell r="Y99" t="str">
            <v>5647189556</v>
          </cell>
          <cell r="Z99"/>
          <cell r="AA99" t="str">
            <v>H</v>
          </cell>
          <cell r="AB99" t="str">
            <v>56883712024</v>
          </cell>
          <cell r="AC99" t="str">
            <v>PERMANENTE</v>
          </cell>
          <cell r="AD99" t="str">
            <v>DISTRITO FEDERAL</v>
          </cell>
          <cell r="AE99" t="str">
            <v>CASADO(A)</v>
          </cell>
          <cell r="AF99" t="str">
            <v>BACHILLERATO</v>
          </cell>
          <cell r="AG99" t="str">
            <v>(OMISION)</v>
          </cell>
          <cell r="AH99"/>
          <cell r="AI99"/>
          <cell r="AJ99" t="str">
            <v>gustavo90carmona80@gmail.com</v>
          </cell>
          <cell r="AK99" t="str">
            <v>COSTO VARIABLE</v>
          </cell>
          <cell r="AL99" t="str">
            <v>AVIOR CAL</v>
          </cell>
          <cell r="AM99" t="str">
            <v>AV15 SODIMAC CAPLAN EDOMX</v>
          </cell>
          <cell r="AN99"/>
          <cell r="AO99"/>
          <cell r="AP99" t="str">
            <v>10081400</v>
          </cell>
          <cell r="AR99" t="str">
            <v>Sindicalizado</v>
          </cell>
        </row>
        <row r="100">
          <cell r="A100" t="str">
            <v>150654</v>
          </cell>
          <cell r="B100" t="str">
            <v>LOZANO ESQUIVEL LUIS ANGEL</v>
          </cell>
          <cell r="C100" t="str">
            <v>AYUDANTE GENERAL</v>
          </cell>
          <cell r="D100" t="str">
            <v>OPERACIONES</v>
          </cell>
          <cell r="E100" t="str">
            <v>AV01020501 SODIMAC VE MEX ALMACENAJE</v>
          </cell>
          <cell r="F100" t="str">
            <v>23/01/2024</v>
          </cell>
          <cell r="G100"/>
          <cell r="H100" t="str">
            <v>ALTA</v>
          </cell>
          <cell r="I100" t="str">
            <v>CONTRATACION</v>
          </cell>
          <cell r="J100">
            <v>248.93</v>
          </cell>
          <cell r="K100">
            <v>261.17</v>
          </cell>
          <cell r="L100" t="str">
            <v>SEM15</v>
          </cell>
          <cell r="M100" t="str">
            <v>15 SINDICALIZADO - CAPLAN</v>
          </cell>
          <cell r="N100" t="str">
            <v>13/11/2002</v>
          </cell>
          <cell r="O100" t="str">
            <v>LOEL021113NS1</v>
          </cell>
          <cell r="P100" t="str">
            <v>LOEL021113HMCZSSA7</v>
          </cell>
          <cell r="Q100" t="str">
            <v>17230267688</v>
          </cell>
          <cell r="R100" t="str">
            <v>C MORAS MZ 25 LT 4 CS 1</v>
          </cell>
          <cell r="S100"/>
          <cell r="T100"/>
          <cell r="U100" t="str">
            <v>FRACC LOS HEROES COACALCO</v>
          </cell>
          <cell r="V100"/>
          <cell r="W100" t="str">
            <v>MEXICO</v>
          </cell>
          <cell r="X100">
            <v>55712</v>
          </cell>
          <cell r="Y100" t="str">
            <v>5633319502</v>
          </cell>
          <cell r="Z100"/>
          <cell r="AA100" t="str">
            <v>H</v>
          </cell>
          <cell r="AB100" t="str">
            <v>56883650248</v>
          </cell>
          <cell r="AC100" t="str">
            <v>PERMANENTE</v>
          </cell>
          <cell r="AD100" t="str">
            <v>MEXICO</v>
          </cell>
          <cell r="AE100" t="str">
            <v>SOLTERO(A)</v>
          </cell>
          <cell r="AF100" t="str">
            <v>SECUNDARIA</v>
          </cell>
          <cell r="AG100" t="str">
            <v>(OMISION)</v>
          </cell>
          <cell r="AH100"/>
          <cell r="AI100"/>
          <cell r="AJ100" t="str">
            <v>lozanitoaz848@gmail.com</v>
          </cell>
          <cell r="AK100" t="str">
            <v>COSTO VARIABLE</v>
          </cell>
          <cell r="AL100" t="str">
            <v>AVIOR CAL</v>
          </cell>
          <cell r="AM100" t="str">
            <v>AV15 SODIMAC CAPLAN EDOMX</v>
          </cell>
          <cell r="AN100"/>
          <cell r="AO100"/>
          <cell r="AP100" t="str">
            <v>10081408</v>
          </cell>
          <cell r="AR100" t="str">
            <v>Sindicalizado</v>
          </cell>
        </row>
        <row r="101">
          <cell r="A101" t="str">
            <v>150655</v>
          </cell>
          <cell r="B101" t="str">
            <v>ROMAN GONZALEZ BRYAN JOEL</v>
          </cell>
          <cell r="C101" t="str">
            <v>AYUDANTE GENERAL</v>
          </cell>
          <cell r="D101" t="str">
            <v>OPERACIONES</v>
          </cell>
          <cell r="E101" t="str">
            <v>AV01020501 SODIMAC VE MEX ALMACENAJE</v>
          </cell>
          <cell r="F101" t="str">
            <v>26/01/2024</v>
          </cell>
          <cell r="G101"/>
          <cell r="H101" t="str">
            <v>ALTA</v>
          </cell>
          <cell r="I101" t="str">
            <v>CONTRATACION</v>
          </cell>
          <cell r="J101">
            <v>248.93</v>
          </cell>
          <cell r="K101">
            <v>261.17</v>
          </cell>
          <cell r="L101" t="str">
            <v>SEM15</v>
          </cell>
          <cell r="M101" t="str">
            <v>15 SINDICALIZADO - CAPLAN</v>
          </cell>
          <cell r="N101" t="str">
            <v>11/08/1999</v>
          </cell>
          <cell r="O101" t="str">
            <v>ROGB990811L5A</v>
          </cell>
          <cell r="P101" t="str">
            <v>ROGB990811HMCMNR02</v>
          </cell>
          <cell r="Q101" t="str">
            <v>10139976889</v>
          </cell>
          <cell r="R101" t="str">
            <v>CONJ HAB</v>
          </cell>
          <cell r="S101"/>
          <cell r="T101"/>
          <cell r="U101" t="str">
            <v>JALATLACO</v>
          </cell>
          <cell r="V101"/>
          <cell r="W101" t="str">
            <v>MEXICO</v>
          </cell>
          <cell r="X101">
            <v>55737</v>
          </cell>
          <cell r="Y101" t="str">
            <v>5512780435</v>
          </cell>
          <cell r="Z101"/>
          <cell r="AA101" t="str">
            <v>H</v>
          </cell>
          <cell r="AB101" t="str">
            <v>56884089635</v>
          </cell>
          <cell r="AC101" t="str">
            <v>PERMANENTE</v>
          </cell>
          <cell r="AD101" t="str">
            <v>MEXICO</v>
          </cell>
          <cell r="AE101" t="str">
            <v>SOLTERO(A)</v>
          </cell>
          <cell r="AF101" t="str">
            <v>SECUNDARIA</v>
          </cell>
          <cell r="AG101" t="str">
            <v>(OMISION)</v>
          </cell>
          <cell r="AH101"/>
          <cell r="AI101"/>
          <cell r="AJ101" t="str">
            <v>effecgrecords@gmail.com</v>
          </cell>
          <cell r="AK101" t="str">
            <v>COSTO VARIABLE</v>
          </cell>
          <cell r="AL101" t="str">
            <v>AVIOR CAL</v>
          </cell>
          <cell r="AM101" t="str">
            <v>AV15 SODIMAC CAPLAN EDOMX</v>
          </cell>
          <cell r="AN101"/>
          <cell r="AO101"/>
          <cell r="AP101" t="str">
            <v>10081520</v>
          </cell>
          <cell r="AR101" t="str">
            <v>Sindicalizado</v>
          </cell>
        </row>
        <row r="102">
          <cell r="A102" t="str">
            <v>161677</v>
          </cell>
          <cell r="B102" t="str">
            <v>DE JESUS GOMEZ ALAN</v>
          </cell>
          <cell r="C102" t="str">
            <v>AUXILIAR DE PATIO</v>
          </cell>
          <cell r="D102" t="str">
            <v>TRAFICO</v>
          </cell>
          <cell r="E102" t="str">
            <v>AV01011201 HENKEL TOL ALMACEN</v>
          </cell>
          <cell r="F102" t="str">
            <v>09/01/2024</v>
          </cell>
          <cell r="G102" t="str">
            <v>12/01/2024</v>
          </cell>
          <cell r="H102" t="str">
            <v>BAJA</v>
          </cell>
          <cell r="I102" t="str">
            <v>ABANDONO DE EMPLEO</v>
          </cell>
          <cell r="J102">
            <v>269.85000000000002</v>
          </cell>
          <cell r="K102">
            <v>283.12</v>
          </cell>
          <cell r="L102" t="str">
            <v>SEM16</v>
          </cell>
          <cell r="M102" t="str">
            <v>16 CONFIANZA - TOLUCA HENKEL</v>
          </cell>
          <cell r="N102" t="str">
            <v>30/11/2000</v>
          </cell>
          <cell r="O102" t="str">
            <v>JEGA001130ER8</v>
          </cell>
          <cell r="P102" t="str">
            <v>JEGA001130HMCSMLA3</v>
          </cell>
          <cell r="Q102" t="str">
            <v>56160070902</v>
          </cell>
          <cell r="R102" t="str">
            <v>MTZ DE LOS REYES</v>
          </cell>
          <cell r="S102" t="str">
            <v>S/N</v>
          </cell>
          <cell r="T102"/>
          <cell r="U102" t="str">
            <v>SANTA CRUZ OTZACATIPAN</v>
          </cell>
          <cell r="V102"/>
          <cell r="W102" t="str">
            <v>MEXICO</v>
          </cell>
          <cell r="X102">
            <v>50210</v>
          </cell>
          <cell r="Y102" t="str">
            <v>7225834583</v>
          </cell>
          <cell r="Z102"/>
          <cell r="AA102" t="str">
            <v>H</v>
          </cell>
          <cell r="AB102" t="str">
            <v>56869652817</v>
          </cell>
          <cell r="AC102" t="str">
            <v>PERMANENTE</v>
          </cell>
          <cell r="AD102" t="str">
            <v>MEXICO</v>
          </cell>
          <cell r="AE102" t="str">
            <v>UNION LIBRE</v>
          </cell>
          <cell r="AF102" t="str">
            <v>BACHILLERATO</v>
          </cell>
          <cell r="AG102" t="str">
            <v>CUOTA</v>
          </cell>
          <cell r="AH102"/>
          <cell r="AI102"/>
          <cell r="AJ102" t="str">
            <v>aalan9140@gmail.com</v>
          </cell>
          <cell r="AK102" t="str">
            <v>COSTO VARIABLE</v>
          </cell>
          <cell r="AL102" t="str">
            <v>AVIOR CAL</v>
          </cell>
          <cell r="AM102" t="str">
            <v>AV16 HENKEL TOLUCA</v>
          </cell>
          <cell r="AN102"/>
          <cell r="AO102"/>
          <cell r="AP102" t="str">
            <v>10080741</v>
          </cell>
          <cell r="AR102" t="str">
            <v>Aministrativo</v>
          </cell>
        </row>
        <row r="103">
          <cell r="A103" t="str">
            <v>161678</v>
          </cell>
          <cell r="B103" t="str">
            <v>HERNANDEZ DOMINGUEZ ADRIANA</v>
          </cell>
          <cell r="C103" t="str">
            <v>CONTADOR CICLICO</v>
          </cell>
          <cell r="D103" t="str">
            <v>PLANEACION Y LOGISTICA</v>
          </cell>
          <cell r="E103" t="str">
            <v>AV01011201 HENKEL TOL ALMACEN</v>
          </cell>
          <cell r="F103" t="str">
            <v>09/01/2024</v>
          </cell>
          <cell r="G103"/>
          <cell r="H103" t="str">
            <v>ALTA</v>
          </cell>
          <cell r="I103" t="str">
            <v>CONTRATACION</v>
          </cell>
          <cell r="J103">
            <v>263.08</v>
          </cell>
          <cell r="K103">
            <v>276.02</v>
          </cell>
          <cell r="L103" t="str">
            <v>SEM16</v>
          </cell>
          <cell r="M103" t="str">
            <v>16 SINDICALIZADO - TOLUCA HENK</v>
          </cell>
          <cell r="N103" t="str">
            <v>08/07/2001</v>
          </cell>
          <cell r="O103" t="str">
            <v>HEDA01070846A</v>
          </cell>
          <cell r="P103" t="str">
            <v>HEDA010708MQTRMDA4</v>
          </cell>
          <cell r="Q103" t="str">
            <v>18150153700</v>
          </cell>
          <cell r="R103" t="str">
            <v>TOLUCA</v>
          </cell>
          <cell r="S103" t="str">
            <v>S/N</v>
          </cell>
          <cell r="T103"/>
          <cell r="U103" t="str">
            <v>SAN DIEGO DE LOS PADRES</v>
          </cell>
          <cell r="V103"/>
          <cell r="W103" t="str">
            <v>MEXICO</v>
          </cell>
          <cell r="X103">
            <v>50205</v>
          </cell>
          <cell r="Y103" t="str">
            <v>7292385045</v>
          </cell>
          <cell r="Z103"/>
          <cell r="AA103" t="str">
            <v>M</v>
          </cell>
          <cell r="AB103" t="str">
            <v>56882201443</v>
          </cell>
          <cell r="AC103" t="str">
            <v>PERMANENTE</v>
          </cell>
          <cell r="AD103" t="str">
            <v>QUERETARO</v>
          </cell>
          <cell r="AE103" t="str">
            <v>SOLTERO(A)</v>
          </cell>
          <cell r="AF103" t="str">
            <v>BACHILLERATO</v>
          </cell>
          <cell r="AG103" t="str">
            <v>CUOTA</v>
          </cell>
          <cell r="AH103"/>
          <cell r="AI103"/>
          <cell r="AJ103" t="str">
            <v>scort.ad17@gmail.com</v>
          </cell>
          <cell r="AK103" t="str">
            <v>COSTO VARIABLE</v>
          </cell>
          <cell r="AL103" t="str">
            <v>AVIOR CAL</v>
          </cell>
          <cell r="AM103" t="str">
            <v>AV16 HENKEL TOLUCA</v>
          </cell>
          <cell r="AN103"/>
          <cell r="AO103"/>
          <cell r="AP103" t="str">
            <v>10080746</v>
          </cell>
          <cell r="AR103" t="str">
            <v>Sindicalizado</v>
          </cell>
        </row>
        <row r="104">
          <cell r="A104" t="str">
            <v>161679</v>
          </cell>
          <cell r="B104" t="str">
            <v>ROBLERO MORALES ALICIA NATIVIDAD</v>
          </cell>
          <cell r="C104" t="str">
            <v>AUXILIAR DE SERVICIOS GENERALES</v>
          </cell>
          <cell r="D104" t="str">
            <v>SERVICIOS GENERALES</v>
          </cell>
          <cell r="E104" t="str">
            <v>AV01011201 HENKEL TOL ALMACEN</v>
          </cell>
          <cell r="F104" t="str">
            <v>09/01/2024</v>
          </cell>
          <cell r="G104"/>
          <cell r="H104" t="str">
            <v>ALTA</v>
          </cell>
          <cell r="I104" t="str">
            <v>CONTRATACION</v>
          </cell>
          <cell r="J104">
            <v>248.93</v>
          </cell>
          <cell r="K104">
            <v>261.17</v>
          </cell>
          <cell r="L104" t="str">
            <v>SEM16</v>
          </cell>
          <cell r="M104" t="str">
            <v>16 SINDICALIZADO - TOLUCA HENK</v>
          </cell>
          <cell r="N104" t="str">
            <v>16/05/1996</v>
          </cell>
          <cell r="O104" t="str">
            <v>ROMA9605163A9</v>
          </cell>
          <cell r="P104" t="str">
            <v>ROMA960516MCSBRL02</v>
          </cell>
          <cell r="Q104" t="str">
            <v>03239634391</v>
          </cell>
          <cell r="R104" t="str">
            <v>MZ 10 LT13 CASA</v>
          </cell>
          <cell r="S104" t="str">
            <v>102</v>
          </cell>
          <cell r="T104"/>
          <cell r="U104" t="str">
            <v>SAUCES II</v>
          </cell>
          <cell r="V104"/>
          <cell r="W104" t="str">
            <v>MEXICO</v>
          </cell>
          <cell r="X104">
            <v>50210</v>
          </cell>
          <cell r="Y104" t="str">
            <v>7299742695</v>
          </cell>
          <cell r="Z104"/>
          <cell r="AA104" t="str">
            <v>M</v>
          </cell>
          <cell r="AB104" t="str">
            <v>56882138687</v>
          </cell>
          <cell r="AC104" t="str">
            <v>PERMANENTE</v>
          </cell>
          <cell r="AD104" t="str">
            <v>CHIAPAS</v>
          </cell>
          <cell r="AE104" t="str">
            <v>CASADO(A)</v>
          </cell>
          <cell r="AF104" t="str">
            <v>SECUNDARIA</v>
          </cell>
          <cell r="AG104" t="str">
            <v>CUOTA</v>
          </cell>
          <cell r="AH104"/>
          <cell r="AI104"/>
          <cell r="AJ104" t="str">
            <v>roblero_9616-alicia@hotmail.com</v>
          </cell>
          <cell r="AK104" t="str">
            <v>COSTO VARIABLE</v>
          </cell>
          <cell r="AL104" t="str">
            <v>AVIOR CAL</v>
          </cell>
          <cell r="AM104" t="str">
            <v>AV16 HENKEL TOLUCA</v>
          </cell>
          <cell r="AN104"/>
          <cell r="AO104"/>
          <cell r="AP104" t="str">
            <v>10080745</v>
          </cell>
          <cell r="AR104" t="str">
            <v>Sindicalizado</v>
          </cell>
        </row>
        <row r="105">
          <cell r="A105" t="str">
            <v>161680</v>
          </cell>
          <cell r="B105" t="str">
            <v>VEGA REYES EMMANUEL</v>
          </cell>
          <cell r="C105" t="str">
            <v>AUXILIAR DE SERVICIOS GENERALES</v>
          </cell>
          <cell r="D105" t="str">
            <v>SERVICIOS GENERALES</v>
          </cell>
          <cell r="E105" t="str">
            <v>AV01011201 HENKEL TOL ALMACEN</v>
          </cell>
          <cell r="F105" t="str">
            <v>09/01/2024</v>
          </cell>
          <cell r="G105" t="str">
            <v>12/01/2024</v>
          </cell>
          <cell r="H105" t="str">
            <v>BAJA</v>
          </cell>
          <cell r="I105" t="str">
            <v>ABANDONO DE EMPLEO</v>
          </cell>
          <cell r="J105">
            <v>248.93</v>
          </cell>
          <cell r="K105">
            <v>261.17</v>
          </cell>
          <cell r="L105" t="str">
            <v>SEM16</v>
          </cell>
          <cell r="M105" t="str">
            <v>16 SINDICALIZADO - TOLUCA HENK</v>
          </cell>
          <cell r="N105" t="str">
            <v>23/02/1983</v>
          </cell>
          <cell r="O105" t="str">
            <v>VERE83022339A</v>
          </cell>
          <cell r="P105" t="str">
            <v>VERE830223HMCGYM00</v>
          </cell>
          <cell r="Q105" t="str">
            <v>16028322168</v>
          </cell>
          <cell r="R105" t="str">
            <v>SANTA ELENA 108</v>
          </cell>
          <cell r="S105" t="str">
            <v>13</v>
          </cell>
          <cell r="T105"/>
          <cell r="U105" t="str">
            <v>RINCON DE SAN LORENZO</v>
          </cell>
          <cell r="V105"/>
          <cell r="W105" t="str">
            <v>MEXICO</v>
          </cell>
          <cell r="X105">
            <v>50017</v>
          </cell>
          <cell r="Y105" t="str">
            <v>7226225674</v>
          </cell>
          <cell r="Z105"/>
          <cell r="AA105" t="str">
            <v>H</v>
          </cell>
          <cell r="AB105" t="str">
            <v>60630388908</v>
          </cell>
          <cell r="AC105" t="str">
            <v>PERMANENTE</v>
          </cell>
          <cell r="AD105" t="str">
            <v>MEXICO</v>
          </cell>
          <cell r="AE105" t="str">
            <v>CASADO(A)</v>
          </cell>
          <cell r="AF105" t="str">
            <v>SECUNDARIA</v>
          </cell>
          <cell r="AG105" t="str">
            <v>CUOTA</v>
          </cell>
          <cell r="AH105"/>
          <cell r="AI105"/>
          <cell r="AJ105" t="str">
            <v>emmanuel_12@gmail.com</v>
          </cell>
          <cell r="AK105" t="str">
            <v>COSTO VARIABLE</v>
          </cell>
          <cell r="AL105" t="str">
            <v>AVIOR CAL</v>
          </cell>
          <cell r="AM105" t="str">
            <v>AV16 HENKEL TOLUCA</v>
          </cell>
          <cell r="AN105"/>
          <cell r="AO105"/>
          <cell r="AP105" t="str">
            <v>10080738</v>
          </cell>
          <cell r="AR105" t="str">
            <v>Sindicalizado</v>
          </cell>
        </row>
        <row r="106">
          <cell r="A106" t="str">
            <v>161681</v>
          </cell>
          <cell r="B106" t="str">
            <v>ZEPEDA ALVAREZ JAZMIN</v>
          </cell>
          <cell r="C106" t="str">
            <v>AUXILIAR DE SERVICIOS GENERALES</v>
          </cell>
          <cell r="D106" t="str">
            <v>SERVICIOS GENERALES</v>
          </cell>
          <cell r="E106" t="str">
            <v>AV01011201 HENKEL TOL ALMACEN</v>
          </cell>
          <cell r="F106" t="str">
            <v>09/01/2024</v>
          </cell>
          <cell r="G106" t="str">
            <v>25/01/2024</v>
          </cell>
          <cell r="H106" t="str">
            <v>BAJA</v>
          </cell>
          <cell r="I106" t="str">
            <v>ABANDONO DE EMPLEO</v>
          </cell>
          <cell r="J106">
            <v>248.93</v>
          </cell>
          <cell r="K106">
            <v>261.17</v>
          </cell>
          <cell r="L106" t="str">
            <v>SEM16</v>
          </cell>
          <cell r="M106" t="str">
            <v>16 SINDICALIZADO - TOLUCA HENK</v>
          </cell>
          <cell r="N106" t="str">
            <v>19/09/1998</v>
          </cell>
          <cell r="O106" t="str">
            <v>ZEAJ980919NH8</v>
          </cell>
          <cell r="P106" t="str">
            <v>ZEAJ980919MMCPLZ05</v>
          </cell>
          <cell r="Q106" t="str">
            <v>02199814282</v>
          </cell>
          <cell r="R106" t="str">
            <v>J ORTIZ DE DOMINGUEZ</v>
          </cell>
          <cell r="S106" t="str">
            <v>S/N</v>
          </cell>
          <cell r="T106"/>
          <cell r="U106" t="str">
            <v>SAN JOSE GUADALUPE OTZACATIPAN</v>
          </cell>
          <cell r="V106"/>
          <cell r="W106" t="str">
            <v>MEXICO</v>
          </cell>
          <cell r="X106">
            <v>50230</v>
          </cell>
          <cell r="Y106" t="str">
            <v>7225680967</v>
          </cell>
          <cell r="Z106"/>
          <cell r="AA106" t="str">
            <v>M</v>
          </cell>
          <cell r="AB106" t="str">
            <v>56882432288</v>
          </cell>
          <cell r="AC106" t="str">
            <v>PERMANENTE</v>
          </cell>
          <cell r="AD106" t="str">
            <v>MEXICO</v>
          </cell>
          <cell r="AE106" t="str">
            <v>SOLTERO(A)</v>
          </cell>
          <cell r="AF106" t="str">
            <v>SECUNDARIA</v>
          </cell>
          <cell r="AG106" t="str">
            <v>CUOTA</v>
          </cell>
          <cell r="AH106"/>
          <cell r="AI106"/>
          <cell r="AJ106" t="str">
            <v>jazminzepedaalvarez@gmail.com</v>
          </cell>
          <cell r="AK106" t="str">
            <v>COSTO VARIABLE</v>
          </cell>
          <cell r="AL106" t="str">
            <v>AVIOR CAL</v>
          </cell>
          <cell r="AM106" t="str">
            <v>AV16 HENKEL TOLUCA</v>
          </cell>
          <cell r="AN106"/>
          <cell r="AO106"/>
          <cell r="AP106" t="str">
            <v>10080737</v>
          </cell>
          <cell r="AR106" t="str">
            <v>Sindicalizado</v>
          </cell>
        </row>
        <row r="107">
          <cell r="A107" t="str">
            <v>161682</v>
          </cell>
          <cell r="B107" t="str">
            <v>BALDERAS PEDRAZA MICHEL</v>
          </cell>
          <cell r="C107" t="str">
            <v>AUXILIAR DE VERIFICACION</v>
          </cell>
          <cell r="D107" t="str">
            <v>PLANEACION Y LOGISTICA</v>
          </cell>
          <cell r="E107" t="str">
            <v>AV01011201 HENKEL TOL ALMACEN</v>
          </cell>
          <cell r="F107" t="str">
            <v>17/01/2024</v>
          </cell>
          <cell r="G107"/>
          <cell r="H107" t="str">
            <v>ALTA</v>
          </cell>
          <cell r="I107" t="str">
            <v>CONTRATACION</v>
          </cell>
          <cell r="J107">
            <v>296.8</v>
          </cell>
          <cell r="K107">
            <v>311.39999999999998</v>
          </cell>
          <cell r="L107" t="str">
            <v>SEM16</v>
          </cell>
          <cell r="M107" t="str">
            <v>16 CONFIANZA - TOLUCA HENKEL</v>
          </cell>
          <cell r="N107" t="str">
            <v>04/09/2001</v>
          </cell>
          <cell r="O107" t="str">
            <v>BAPM0109048H8</v>
          </cell>
          <cell r="P107" t="str">
            <v>BAPM010904MMCLDCA3</v>
          </cell>
          <cell r="Q107" t="str">
            <v>66160106952</v>
          </cell>
          <cell r="R107" t="str">
            <v>CENTRO CEREMONIAL OTOMI</v>
          </cell>
          <cell r="S107" t="str">
            <v>172</v>
          </cell>
          <cell r="T107"/>
          <cell r="U107" t="str">
            <v>SAN PEDRO ARRIBA 1RA. SECCION</v>
          </cell>
          <cell r="V107"/>
          <cell r="W107" t="str">
            <v>MEXICO</v>
          </cell>
          <cell r="X107">
            <v>50867</v>
          </cell>
          <cell r="Y107" t="str">
            <v>7228989503</v>
          </cell>
          <cell r="Z107"/>
          <cell r="AA107" t="str">
            <v>M</v>
          </cell>
          <cell r="AB107" t="str">
            <v>56883324343</v>
          </cell>
          <cell r="AC107" t="str">
            <v>PERMANENTE</v>
          </cell>
          <cell r="AD107" t="str">
            <v>MEXICO</v>
          </cell>
          <cell r="AE107" t="str">
            <v>SOLTERO(A)</v>
          </cell>
          <cell r="AF107" t="str">
            <v>CARRERA TECNICA</v>
          </cell>
          <cell r="AG107" t="str">
            <v>CUOTA</v>
          </cell>
          <cell r="AH107"/>
          <cell r="AI107"/>
          <cell r="AJ107" t="str">
            <v>michellpedraza509@gmail.com</v>
          </cell>
          <cell r="AK107" t="str">
            <v>COSTO VARIABLE</v>
          </cell>
          <cell r="AL107" t="str">
            <v>AVIOR CAL</v>
          </cell>
          <cell r="AM107" t="str">
            <v>AV16 HENKEL TOLUCA</v>
          </cell>
          <cell r="AN107"/>
          <cell r="AO107"/>
          <cell r="AP107" t="str">
            <v>10081191</v>
          </cell>
          <cell r="AR107" t="str">
            <v>Aministrativo</v>
          </cell>
        </row>
        <row r="108">
          <cell r="A108" t="str">
            <v>161683</v>
          </cell>
          <cell r="B108" t="str">
            <v>BARRERA MACIAS SONIA ESTRELLA</v>
          </cell>
          <cell r="C108" t="str">
            <v>AUXILIAR DE SERVICIOS GENERALES</v>
          </cell>
          <cell r="D108" t="str">
            <v>SERVICIOS GENERALES</v>
          </cell>
          <cell r="E108" t="str">
            <v>AV01011201 HENKEL TOL ALMACEN</v>
          </cell>
          <cell r="F108" t="str">
            <v>17/01/2024</v>
          </cell>
          <cell r="G108"/>
          <cell r="H108" t="str">
            <v>ALTA</v>
          </cell>
          <cell r="I108" t="str">
            <v>CONTRATACION</v>
          </cell>
          <cell r="J108">
            <v>248.93</v>
          </cell>
          <cell r="K108">
            <v>261.17</v>
          </cell>
          <cell r="L108" t="str">
            <v>SEM16</v>
          </cell>
          <cell r="M108" t="str">
            <v>16 CONFIANZA - TOLUCA HENKEL</v>
          </cell>
          <cell r="N108" t="str">
            <v>16/11/2004</v>
          </cell>
          <cell r="O108" t="str">
            <v>BAMS0411166C2</v>
          </cell>
          <cell r="P108" t="str">
            <v>BAMS041116MMCRCNA7</v>
          </cell>
          <cell r="Q108" t="str">
            <v>25180408574</v>
          </cell>
          <cell r="R108" t="str">
            <v>CESAR CAMACHO QUIROZ</v>
          </cell>
          <cell r="S108" t="str">
            <v>S/N</v>
          </cell>
          <cell r="T108"/>
          <cell r="U108" t="str">
            <v>SAN NICOLAS TOLENTINO</v>
          </cell>
          <cell r="V108"/>
          <cell r="W108" t="str">
            <v>MEXICO</v>
          </cell>
          <cell r="X108">
            <v>50230</v>
          </cell>
          <cell r="Y108" t="str">
            <v>7226682989</v>
          </cell>
          <cell r="Z108"/>
          <cell r="AA108" t="str">
            <v>M</v>
          </cell>
          <cell r="AB108" t="str">
            <v>56883122149</v>
          </cell>
          <cell r="AC108" t="str">
            <v>PERMANENTE</v>
          </cell>
          <cell r="AD108" t="str">
            <v>MEXICO</v>
          </cell>
          <cell r="AE108" t="str">
            <v>SOLTERO(A)</v>
          </cell>
          <cell r="AF108" t="str">
            <v>BACHILLERATO</v>
          </cell>
          <cell r="AG108" t="str">
            <v>CUOTA</v>
          </cell>
          <cell r="AH108"/>
          <cell r="AI108"/>
          <cell r="AJ108" t="str">
            <v>soniaestrellabarmacias@gmail.com</v>
          </cell>
          <cell r="AK108" t="str">
            <v>COSTO VARIABLE</v>
          </cell>
          <cell r="AL108" t="str">
            <v>AVIOR CAL</v>
          </cell>
          <cell r="AM108" t="str">
            <v>AV16 HENKEL TOLUCA</v>
          </cell>
          <cell r="AN108"/>
          <cell r="AO108"/>
          <cell r="AP108" t="str">
            <v>10081136</v>
          </cell>
          <cell r="AR108" t="str">
            <v>Aministrativo</v>
          </cell>
        </row>
        <row r="109">
          <cell r="A109" t="str">
            <v>161684</v>
          </cell>
          <cell r="B109" t="str">
            <v>BORBOLLON OLMEDO ARIADNE</v>
          </cell>
          <cell r="C109" t="str">
            <v>AUXILIAR DE VERIFICACION</v>
          </cell>
          <cell r="D109" t="str">
            <v>PLANEACION Y LOGISTICA</v>
          </cell>
          <cell r="E109" t="str">
            <v>AV01011201 HENKEL TOL ALMACEN</v>
          </cell>
          <cell r="F109" t="str">
            <v>17/01/2024</v>
          </cell>
          <cell r="G109"/>
          <cell r="H109" t="str">
            <v>ALTA</v>
          </cell>
          <cell r="I109" t="str">
            <v>CONTRATACION</v>
          </cell>
          <cell r="J109">
            <v>296.8</v>
          </cell>
          <cell r="K109">
            <v>311.39999999999998</v>
          </cell>
          <cell r="L109" t="str">
            <v>SEM16</v>
          </cell>
          <cell r="M109" t="str">
            <v>16 CONFIANZA - TOLUCA HENKEL</v>
          </cell>
          <cell r="N109" t="str">
            <v>12/08/1990</v>
          </cell>
          <cell r="O109" t="str">
            <v>BOOA900812NC3</v>
          </cell>
          <cell r="P109" t="str">
            <v>BOOA900812MMCRLR05</v>
          </cell>
          <cell r="Q109" t="str">
            <v>16089000786</v>
          </cell>
          <cell r="R109" t="str">
            <v>PRIV SILO MZ 14 LT</v>
          </cell>
          <cell r="S109" t="str">
            <v>21-22</v>
          </cell>
          <cell r="T109"/>
          <cell r="U109" t="str">
            <v>HACIENDA LAS TROJES</v>
          </cell>
          <cell r="V109"/>
          <cell r="W109" t="str">
            <v>MEXICO</v>
          </cell>
          <cell r="X109">
            <v>50880</v>
          </cell>
          <cell r="Y109" t="str">
            <v>7223958997</v>
          </cell>
          <cell r="Z109"/>
          <cell r="AA109" t="str">
            <v>M</v>
          </cell>
          <cell r="AB109" t="str">
            <v>56882704156</v>
          </cell>
          <cell r="AC109" t="str">
            <v>PERMANENTE</v>
          </cell>
          <cell r="AD109" t="str">
            <v>QUERETARO</v>
          </cell>
          <cell r="AE109" t="str">
            <v>SOLTERO(A)</v>
          </cell>
          <cell r="AF109" t="str">
            <v>PROFESIONAL</v>
          </cell>
          <cell r="AG109" t="str">
            <v>CUOTA</v>
          </cell>
          <cell r="AH109"/>
          <cell r="AI109"/>
          <cell r="AJ109" t="str">
            <v>aborbollonolmedo@yahoo.com.mx</v>
          </cell>
          <cell r="AK109" t="str">
            <v>COSTO VARIABLE</v>
          </cell>
          <cell r="AL109" t="str">
            <v>AVIOR CAL</v>
          </cell>
          <cell r="AM109" t="str">
            <v>AV16 HENKEL TOLUCA</v>
          </cell>
          <cell r="AN109"/>
          <cell r="AO109"/>
          <cell r="AP109" t="str">
            <v>10081135</v>
          </cell>
          <cell r="AR109" t="str">
            <v>Aministrativo</v>
          </cell>
        </row>
        <row r="110">
          <cell r="A110" t="str">
            <v>161685</v>
          </cell>
          <cell r="B110" t="str">
            <v>DIAZ MORALES TOMAS</v>
          </cell>
          <cell r="C110" t="str">
            <v>AUXILIAR DE SERVICIOS GENERALES</v>
          </cell>
          <cell r="D110" t="str">
            <v>SERVICIOS GENERALES</v>
          </cell>
          <cell r="E110" t="str">
            <v>AV01011201 HENKEL TOL ALMACEN</v>
          </cell>
          <cell r="F110" t="str">
            <v>17/01/2024</v>
          </cell>
          <cell r="G110"/>
          <cell r="H110" t="str">
            <v>ALTA</v>
          </cell>
          <cell r="I110" t="str">
            <v>CONTRATACION</v>
          </cell>
          <cell r="J110">
            <v>248.93</v>
          </cell>
          <cell r="K110">
            <v>261.17</v>
          </cell>
          <cell r="L110" t="str">
            <v>SEM16</v>
          </cell>
          <cell r="M110" t="str">
            <v>16 SINDICALIZADO - TOLUCA HENK</v>
          </cell>
          <cell r="N110" t="str">
            <v>21/12/1985</v>
          </cell>
          <cell r="O110" t="str">
            <v>DIMT851221LZ3</v>
          </cell>
          <cell r="P110" t="str">
            <v>DIMT851221HMCZRM08</v>
          </cell>
          <cell r="Q110" t="str">
            <v>16048512533</v>
          </cell>
          <cell r="R110" t="str">
            <v>IGNACIO MATAMOROS</v>
          </cell>
          <cell r="S110" t="str">
            <v>536</v>
          </cell>
          <cell r="T110"/>
          <cell r="U110" t="str">
            <v>SAN CRISTOBLA HUICHOCHITLAN</v>
          </cell>
          <cell r="V110"/>
          <cell r="W110" t="str">
            <v>MEXICO</v>
          </cell>
          <cell r="X110">
            <v>50010</v>
          </cell>
          <cell r="Y110" t="str">
            <v>7228479966</v>
          </cell>
          <cell r="Z110"/>
          <cell r="AA110" t="str">
            <v>H</v>
          </cell>
          <cell r="AB110" t="str">
            <v>56883047263</v>
          </cell>
          <cell r="AC110" t="str">
            <v>PERMANENTE</v>
          </cell>
          <cell r="AD110" t="str">
            <v>MEXICO</v>
          </cell>
          <cell r="AE110" t="str">
            <v>UNION LIBRE</v>
          </cell>
          <cell r="AF110" t="str">
            <v>PRIMARIA</v>
          </cell>
          <cell r="AG110" t="str">
            <v>CUOTA</v>
          </cell>
          <cell r="AH110"/>
          <cell r="AI110"/>
          <cell r="AJ110" t="str">
            <v>noed3759@gmail.com</v>
          </cell>
          <cell r="AK110" t="str">
            <v>COSTO VARIABLE</v>
          </cell>
          <cell r="AL110" t="str">
            <v>AVIOR CAL</v>
          </cell>
          <cell r="AM110" t="str">
            <v>AV16 HENKEL TOLUCA</v>
          </cell>
          <cell r="AN110"/>
          <cell r="AO110"/>
          <cell r="AP110" t="str">
            <v>10081183</v>
          </cell>
          <cell r="AR110" t="str">
            <v>Sindicalizado</v>
          </cell>
        </row>
        <row r="111">
          <cell r="A111" t="str">
            <v>161686</v>
          </cell>
          <cell r="B111" t="str">
            <v>MARTINEZ SERVIN KEVIN ALAN</v>
          </cell>
          <cell r="C111" t="str">
            <v>CONTADOR CICLICO</v>
          </cell>
          <cell r="D111" t="str">
            <v>PLANEACION Y LOGISTICA</v>
          </cell>
          <cell r="E111" t="str">
            <v>AV01011291 HENKEL TOL CAP HUM</v>
          </cell>
          <cell r="F111" t="str">
            <v>17/01/2024</v>
          </cell>
          <cell r="G111"/>
          <cell r="H111" t="str">
            <v>ALTA</v>
          </cell>
          <cell r="I111" t="str">
            <v>CONTRATACION</v>
          </cell>
          <cell r="J111">
            <v>263.08</v>
          </cell>
          <cell r="K111">
            <v>276.02</v>
          </cell>
          <cell r="L111" t="str">
            <v>SEM16</v>
          </cell>
          <cell r="M111" t="str">
            <v>16 SINDICALIZADO - TOLUCA HENK</v>
          </cell>
          <cell r="N111" t="str">
            <v>04/01/2001</v>
          </cell>
          <cell r="O111" t="str">
            <v>MASK010104P52</v>
          </cell>
          <cell r="P111" t="str">
            <v>MASK010104HMCRRVA0</v>
          </cell>
          <cell r="Q111" t="str">
            <v>19150158731</v>
          </cell>
          <cell r="R111" t="str">
            <v>HDA LA LAGUNA LT 80 M</v>
          </cell>
          <cell r="S111" t="str">
            <v>MZ 2</v>
          </cell>
          <cell r="T111"/>
          <cell r="U111" t="str">
            <v>HACIENDA DEL VALLE II</v>
          </cell>
          <cell r="V111"/>
          <cell r="W111" t="str">
            <v>MEXICO</v>
          </cell>
          <cell r="X111">
            <v>50210</v>
          </cell>
          <cell r="Y111" t="str">
            <v>7226502099</v>
          </cell>
          <cell r="Z111"/>
          <cell r="AA111" t="str">
            <v>H</v>
          </cell>
          <cell r="AB111" t="str">
            <v>56882973206</v>
          </cell>
          <cell r="AC111" t="str">
            <v>PERMANENTE</v>
          </cell>
          <cell r="AD111" t="str">
            <v>QUERETARO</v>
          </cell>
          <cell r="AE111" t="str">
            <v>SOLTERO(A)</v>
          </cell>
          <cell r="AF111" t="str">
            <v>BACHILLERATO</v>
          </cell>
          <cell r="AG111" t="str">
            <v>CUOTA</v>
          </cell>
          <cell r="AH111"/>
          <cell r="AI111"/>
          <cell r="AJ111" t="str">
            <v>kams23100@gmail.com</v>
          </cell>
          <cell r="AK111" t="str">
            <v>COSTO VARIABLE</v>
          </cell>
          <cell r="AL111" t="str">
            <v>AVIOR CAL</v>
          </cell>
          <cell r="AM111" t="str">
            <v>AV16 HENKEL TOLUCA</v>
          </cell>
          <cell r="AN111"/>
          <cell r="AO111"/>
          <cell r="AP111" t="str">
            <v>10081175</v>
          </cell>
          <cell r="AR111" t="str">
            <v>Sindicalizado</v>
          </cell>
        </row>
        <row r="112">
          <cell r="A112" t="str">
            <v>161687</v>
          </cell>
          <cell r="B112" t="str">
            <v>MONTES ARRIAGA FELIPE DE JESUS</v>
          </cell>
          <cell r="C112" t="str">
            <v>MONTACARGUISTA</v>
          </cell>
          <cell r="D112" t="str">
            <v>PLANEACION Y LOGISTICA</v>
          </cell>
          <cell r="E112" t="str">
            <v>AV01011201 HENKEL TOL ALMACEN</v>
          </cell>
          <cell r="F112" t="str">
            <v>17/01/2024</v>
          </cell>
          <cell r="G112"/>
          <cell r="H112" t="str">
            <v>ALTA</v>
          </cell>
          <cell r="I112" t="str">
            <v>CONTRATACION</v>
          </cell>
          <cell r="J112">
            <v>307.93</v>
          </cell>
          <cell r="K112">
            <v>323.07</v>
          </cell>
          <cell r="L112" t="str">
            <v>SEM16</v>
          </cell>
          <cell r="M112" t="str">
            <v>16 SINDICALIZADO - TOLUCA HENK</v>
          </cell>
          <cell r="N112" t="str">
            <v>05/02/1990</v>
          </cell>
          <cell r="O112" t="str">
            <v>MOAF900205GH4</v>
          </cell>
          <cell r="P112" t="str">
            <v>MOAF900205HMCNRL09</v>
          </cell>
          <cell r="Q112" t="str">
            <v>16099035905</v>
          </cell>
          <cell r="R112" t="str">
            <v>SOLANOS</v>
          </cell>
          <cell r="S112" t="str">
            <v>S/N</v>
          </cell>
          <cell r="T112"/>
          <cell r="U112" t="str">
            <v>SAN MATEO MOZOQUILPAN</v>
          </cell>
          <cell r="V112"/>
          <cell r="W112" t="str">
            <v>MEXICO</v>
          </cell>
          <cell r="X112">
            <v>52083</v>
          </cell>
          <cell r="Y112" t="str">
            <v>7226957311</v>
          </cell>
          <cell r="Z112"/>
          <cell r="AA112" t="str">
            <v>H</v>
          </cell>
          <cell r="AB112" t="str">
            <v>56881912496</v>
          </cell>
          <cell r="AC112" t="str">
            <v>PERMANENTE</v>
          </cell>
          <cell r="AD112" t="str">
            <v>MEXICO</v>
          </cell>
          <cell r="AE112" t="str">
            <v>CASADO(A)</v>
          </cell>
          <cell r="AF112" t="str">
            <v>SECUNDARIA</v>
          </cell>
          <cell r="AG112" t="str">
            <v>CUOTA</v>
          </cell>
          <cell r="AH112"/>
          <cell r="AI112"/>
          <cell r="AJ112" t="str">
            <v>felipewarriga@gmail.com</v>
          </cell>
          <cell r="AK112" t="str">
            <v>COSTO VARIABLE</v>
          </cell>
          <cell r="AL112" t="str">
            <v>AVIOR CAL</v>
          </cell>
          <cell r="AM112" t="str">
            <v>AV16 HENKEL TOLUCA</v>
          </cell>
          <cell r="AN112"/>
          <cell r="AO112"/>
          <cell r="AP112" t="str">
            <v>10081181</v>
          </cell>
          <cell r="AR112" t="str">
            <v>Sindicalizado</v>
          </cell>
        </row>
        <row r="113">
          <cell r="A113" t="str">
            <v>161688</v>
          </cell>
          <cell r="B113" t="str">
            <v>MORALES RITO ALBERTO</v>
          </cell>
          <cell r="C113" t="str">
            <v>AUXILIAR DE PATIO</v>
          </cell>
          <cell r="D113" t="str">
            <v>TRAFICO</v>
          </cell>
          <cell r="E113" t="str">
            <v>AV01011201 HENKEL TOL ALMACEN</v>
          </cell>
          <cell r="F113" t="str">
            <v>17/01/2024</v>
          </cell>
          <cell r="G113"/>
          <cell r="H113" t="str">
            <v>ALTA</v>
          </cell>
          <cell r="I113" t="str">
            <v>CONTRATACION</v>
          </cell>
          <cell r="J113">
            <v>269.85000000000002</v>
          </cell>
          <cell r="K113">
            <v>283.12</v>
          </cell>
          <cell r="L113" t="str">
            <v>SEM16</v>
          </cell>
          <cell r="M113" t="str">
            <v>16 CONFIANZA - TOLUCA HENKEL</v>
          </cell>
          <cell r="N113" t="str">
            <v>17/12/1994</v>
          </cell>
          <cell r="O113" t="str">
            <v>MORA941217IG9</v>
          </cell>
          <cell r="P113" t="str">
            <v>MORA941217HMCRTL01</v>
          </cell>
          <cell r="Q113" t="str">
            <v>16129438640</v>
          </cell>
          <cell r="R113" t="str">
            <v>ABASOLO</v>
          </cell>
          <cell r="S113" t="str">
            <v>21 B</v>
          </cell>
          <cell r="T113"/>
          <cell r="U113" t="str">
            <v>GUADALUPE VICTORIA</v>
          </cell>
          <cell r="V113"/>
          <cell r="W113" t="str">
            <v>MEXICO</v>
          </cell>
          <cell r="X113">
            <v>52080</v>
          </cell>
          <cell r="Y113" t="str">
            <v>7294539112</v>
          </cell>
          <cell r="Z113"/>
          <cell r="AA113" t="str">
            <v>H</v>
          </cell>
          <cell r="AB113" t="str">
            <v>56883216124</v>
          </cell>
          <cell r="AC113" t="str">
            <v>PERMANENTE</v>
          </cell>
          <cell r="AD113" t="str">
            <v>MEXICO</v>
          </cell>
          <cell r="AE113" t="str">
            <v>SOLTERO(A)</v>
          </cell>
          <cell r="AF113" t="str">
            <v>BACHILLERATO</v>
          </cell>
          <cell r="AG113" t="str">
            <v>CUOTA</v>
          </cell>
          <cell r="AH113"/>
          <cell r="AI113"/>
          <cell r="AJ113" t="str">
            <v>albert_moralesr@outlook.com</v>
          </cell>
          <cell r="AK113" t="str">
            <v>COSTO VARIABLE</v>
          </cell>
          <cell r="AL113" t="str">
            <v>AVIOR CAL</v>
          </cell>
          <cell r="AM113" t="str">
            <v>AV16 HENKEL TOLUCA</v>
          </cell>
          <cell r="AN113"/>
          <cell r="AO113"/>
          <cell r="AP113" t="str">
            <v>10081176</v>
          </cell>
          <cell r="AR113" t="str">
            <v>Aministrativo</v>
          </cell>
        </row>
        <row r="114">
          <cell r="A114" t="str">
            <v>161689</v>
          </cell>
          <cell r="B114" t="str">
            <v>VELAZQUEZ VARGAS MARIA FERNANDA</v>
          </cell>
          <cell r="C114" t="str">
            <v>AUXILIAR DE PATIO</v>
          </cell>
          <cell r="D114" t="str">
            <v>TRAFICO</v>
          </cell>
          <cell r="E114" t="str">
            <v>AV01011201 HENKEL TOL ALMACEN</v>
          </cell>
          <cell r="F114" t="str">
            <v>17/01/2024</v>
          </cell>
          <cell r="G114" t="str">
            <v>25/01/2024</v>
          </cell>
          <cell r="H114" t="str">
            <v>BAJA</v>
          </cell>
          <cell r="I114" t="str">
            <v>ABANDONO DE EMPLEO</v>
          </cell>
          <cell r="J114">
            <v>269.85000000000002</v>
          </cell>
          <cell r="K114">
            <v>283.12</v>
          </cell>
          <cell r="L114" t="str">
            <v>SEM16</v>
          </cell>
          <cell r="M114" t="str">
            <v>16 CONFIANZA - TOLUCA HENKEL</v>
          </cell>
          <cell r="N114" t="str">
            <v>10/10/1995</v>
          </cell>
          <cell r="O114" t="str">
            <v>VEVF951010AY1</v>
          </cell>
          <cell r="P114" t="str">
            <v>VEVF951010MMCLRR03</v>
          </cell>
          <cell r="Q114" t="str">
            <v>60149584314</v>
          </cell>
          <cell r="R114" t="str">
            <v>FUENTE DE JIUTEPEC</v>
          </cell>
          <cell r="S114" t="str">
            <v>224</v>
          </cell>
          <cell r="T114"/>
          <cell r="U114" t="str">
            <v>INFONAVIT SAN GABRIEL</v>
          </cell>
          <cell r="V114"/>
          <cell r="W114" t="str">
            <v>MEXICO</v>
          </cell>
          <cell r="X114">
            <v>52159</v>
          </cell>
          <cell r="Y114" t="str">
            <v>7224996797</v>
          </cell>
          <cell r="Z114"/>
          <cell r="AA114" t="str">
            <v>M</v>
          </cell>
          <cell r="AB114" t="str">
            <v>14002431630</v>
          </cell>
          <cell r="AC114" t="str">
            <v>PERMANENTE</v>
          </cell>
          <cell r="AD114" t="str">
            <v>MEXICO</v>
          </cell>
          <cell r="AE114" t="str">
            <v>SOLTERO(A)</v>
          </cell>
          <cell r="AF114" t="str">
            <v>PROFESIONAL</v>
          </cell>
          <cell r="AG114" t="str">
            <v>CUOTA</v>
          </cell>
          <cell r="AH114"/>
          <cell r="AI114"/>
          <cell r="AJ114" t="str">
            <v>fernandavelazquez9901@gmail.com</v>
          </cell>
          <cell r="AK114" t="str">
            <v>COSTO VARIABLE</v>
          </cell>
          <cell r="AL114" t="str">
            <v>AVIOR CAL</v>
          </cell>
          <cell r="AM114" t="str">
            <v>AV16 HENKEL TOLUCA</v>
          </cell>
          <cell r="AN114"/>
          <cell r="AO114"/>
          <cell r="AP114" t="str">
            <v>10081195</v>
          </cell>
          <cell r="AR114" t="str">
            <v>Aministrativo</v>
          </cell>
        </row>
        <row r="115">
          <cell r="A115" t="str">
            <v>161690</v>
          </cell>
          <cell r="B115" t="str">
            <v>CASTILLO REYES GEOVANY</v>
          </cell>
          <cell r="C115" t="str">
            <v>AUXILIAR DE SERVICIOS GENERALES</v>
          </cell>
          <cell r="D115" t="str">
            <v>SERVICIOS GENERALES</v>
          </cell>
          <cell r="E115" t="str">
            <v>AV01011201 HENKEL TOL ALMACEN</v>
          </cell>
          <cell r="F115" t="str">
            <v>24/01/2024</v>
          </cell>
          <cell r="G115"/>
          <cell r="H115" t="str">
            <v>ALTA</v>
          </cell>
          <cell r="I115" t="str">
            <v>CONTRATACION</v>
          </cell>
          <cell r="J115">
            <v>248.93</v>
          </cell>
          <cell r="K115">
            <v>261.17</v>
          </cell>
          <cell r="L115" t="str">
            <v>SEM16</v>
          </cell>
          <cell r="M115" t="str">
            <v>16 SINDICALIZADO - TOLUCA HENK</v>
          </cell>
          <cell r="N115" t="str">
            <v>12/04/1995</v>
          </cell>
          <cell r="O115" t="str">
            <v>CARG950412VDA</v>
          </cell>
          <cell r="P115" t="str">
            <v>CARG950412HMCSYV00</v>
          </cell>
          <cell r="Q115" t="str">
            <v>59149576270</v>
          </cell>
          <cell r="R115" t="str">
            <v>21 DE MARZO</v>
          </cell>
          <cell r="S115" t="str">
            <v>141</v>
          </cell>
          <cell r="T115"/>
          <cell r="U115" t="str">
            <v>SAN MATEO CAPULHUAC 3RA ZONA</v>
          </cell>
          <cell r="V115"/>
          <cell r="W115" t="str">
            <v>MEXICO</v>
          </cell>
          <cell r="X115">
            <v>52090</v>
          </cell>
          <cell r="Y115" t="str">
            <v>7224282837</v>
          </cell>
          <cell r="Z115"/>
          <cell r="AA115" t="str">
            <v>H</v>
          </cell>
          <cell r="AB115" t="str">
            <v>14002478938</v>
          </cell>
          <cell r="AC115" t="str">
            <v>PERMANENTE</v>
          </cell>
          <cell r="AD115" t="str">
            <v>MEXICO</v>
          </cell>
          <cell r="AE115" t="str">
            <v>UNION LIBRE</v>
          </cell>
          <cell r="AF115" t="str">
            <v>SECUNDARIA</v>
          </cell>
          <cell r="AG115" t="str">
            <v>CUOTA</v>
          </cell>
          <cell r="AH115"/>
          <cell r="AI115"/>
          <cell r="AJ115" t="str">
            <v>castillogeo3265@gmail.com</v>
          </cell>
          <cell r="AK115" t="str">
            <v>COSTO VARIABLE</v>
          </cell>
          <cell r="AL115" t="str">
            <v>AVIOR CAL</v>
          </cell>
          <cell r="AM115" t="str">
            <v>AV16 HENKEL TOLUCA</v>
          </cell>
          <cell r="AN115"/>
          <cell r="AO115"/>
          <cell r="AP115" t="str">
            <v>10081422</v>
          </cell>
          <cell r="AR115" t="str">
            <v>Sindicalizado</v>
          </cell>
        </row>
        <row r="116">
          <cell r="A116" t="str">
            <v>161691</v>
          </cell>
          <cell r="B116" t="str">
            <v>ERNESTO GONZALEZ ERICK</v>
          </cell>
          <cell r="C116" t="str">
            <v>AUXILIAR DE SERVICIOS GENERALES</v>
          </cell>
          <cell r="D116" t="str">
            <v>SERVICIOS GENERALES</v>
          </cell>
          <cell r="E116" t="str">
            <v>AV01011201 HENKEL TOL ALMACEN</v>
          </cell>
          <cell r="F116" t="str">
            <v>24/01/2024</v>
          </cell>
          <cell r="G116"/>
          <cell r="H116" t="str">
            <v>ALTA</v>
          </cell>
          <cell r="I116" t="str">
            <v>CONTRATACION</v>
          </cell>
          <cell r="J116">
            <v>248.93</v>
          </cell>
          <cell r="K116">
            <v>261.17</v>
          </cell>
          <cell r="L116" t="str">
            <v>SEM16</v>
          </cell>
          <cell r="M116" t="str">
            <v>16 SINDICALIZADO - TOLUCA HENK</v>
          </cell>
          <cell r="N116" t="str">
            <v>08/04/1994</v>
          </cell>
          <cell r="O116" t="str">
            <v>EEGE940408DB6</v>
          </cell>
          <cell r="P116" t="str">
            <v>EEGE940408HMCRNR02</v>
          </cell>
          <cell r="Q116" t="str">
            <v>35169468697</v>
          </cell>
          <cell r="R116" t="str">
            <v>PORFIRIO DIAZ</v>
          </cell>
          <cell r="S116" t="str">
            <v>S/N</v>
          </cell>
          <cell r="T116"/>
          <cell r="U116" t="str">
            <v>LA CONCEPCION XOCHICUAUTLA</v>
          </cell>
          <cell r="V116"/>
          <cell r="W116" t="str">
            <v>MEXICO</v>
          </cell>
          <cell r="X116">
            <v>52050</v>
          </cell>
          <cell r="Y116" t="str">
            <v>7227925998</v>
          </cell>
          <cell r="Z116"/>
          <cell r="AA116" t="str">
            <v>H</v>
          </cell>
          <cell r="AB116" t="str">
            <v>56878945191</v>
          </cell>
          <cell r="AC116" t="str">
            <v>PERMANENTE</v>
          </cell>
          <cell r="AD116" t="str">
            <v>MEXICO</v>
          </cell>
          <cell r="AE116" t="str">
            <v>CASADO(A)</v>
          </cell>
          <cell r="AF116" t="str">
            <v>BACHILLERATO</v>
          </cell>
          <cell r="AG116" t="str">
            <v>CUOTA</v>
          </cell>
          <cell r="AH116"/>
          <cell r="AI116"/>
          <cell r="AJ116" t="str">
            <v>wita9049@gmail.com</v>
          </cell>
          <cell r="AK116" t="str">
            <v>COSTO VARIABLE</v>
          </cell>
          <cell r="AL116" t="str">
            <v>AVIOR CAL</v>
          </cell>
          <cell r="AM116" t="str">
            <v>AV16 HENKEL TOLUCA</v>
          </cell>
          <cell r="AN116"/>
          <cell r="AO116"/>
          <cell r="AP116" t="str">
            <v>10081426</v>
          </cell>
          <cell r="AR116" t="str">
            <v>Sindicalizado</v>
          </cell>
        </row>
        <row r="117">
          <cell r="A117" t="str">
            <v>161692</v>
          </cell>
          <cell r="B117" t="str">
            <v>HERNANDEZ LEAL JONATHAN</v>
          </cell>
          <cell r="C117" t="str">
            <v>AUXILIAR DE PATIO</v>
          </cell>
          <cell r="D117" t="str">
            <v>TRAFICO</v>
          </cell>
          <cell r="E117" t="str">
            <v>AV01011201 HENKEL TOL ALMACEN</v>
          </cell>
          <cell r="F117" t="str">
            <v>24/01/2024</v>
          </cell>
          <cell r="G117"/>
          <cell r="H117" t="str">
            <v>ALTA</v>
          </cell>
          <cell r="I117" t="str">
            <v>CONTRATACION</v>
          </cell>
          <cell r="J117">
            <v>269.85000000000002</v>
          </cell>
          <cell r="K117">
            <v>283.12</v>
          </cell>
          <cell r="L117" t="str">
            <v>SEM16</v>
          </cell>
          <cell r="M117" t="str">
            <v>16 CONFIANZA - TOLUCA HENKEL</v>
          </cell>
          <cell r="N117" t="str">
            <v>27/01/1987</v>
          </cell>
          <cell r="O117" t="str">
            <v>HELJ870127AI8</v>
          </cell>
          <cell r="P117" t="str">
            <v>HELJ870127HMCRLN03</v>
          </cell>
          <cell r="Q117" t="str">
            <v>16088734559</v>
          </cell>
          <cell r="R117" t="str">
            <v>FRANCISCO I MADERO</v>
          </cell>
          <cell r="S117" t="str">
            <v>47</v>
          </cell>
          <cell r="T117"/>
          <cell r="U117" t="str">
            <v>XONACATLAN DE VICENCIO</v>
          </cell>
          <cell r="V117"/>
          <cell r="W117" t="str">
            <v>MEXICO</v>
          </cell>
          <cell r="X117">
            <v>52060</v>
          </cell>
          <cell r="Y117" t="str">
            <v>6251616297</v>
          </cell>
          <cell r="Z117"/>
          <cell r="AA117" t="str">
            <v>H</v>
          </cell>
          <cell r="AB117" t="str">
            <v>56883976674</v>
          </cell>
          <cell r="AC117" t="str">
            <v>PERMANENTE</v>
          </cell>
          <cell r="AD117" t="str">
            <v>MEXICO</v>
          </cell>
          <cell r="AE117" t="str">
            <v>SOLTERO(A)</v>
          </cell>
          <cell r="AF117" t="str">
            <v>BACHILLERATO</v>
          </cell>
          <cell r="AG117" t="str">
            <v>CUOTA</v>
          </cell>
          <cell r="AH117"/>
          <cell r="AI117"/>
          <cell r="AJ117" t="str">
            <v>al221610110@gmail.com</v>
          </cell>
          <cell r="AK117" t="str">
            <v>COSTO VARIABLE</v>
          </cell>
          <cell r="AL117" t="str">
            <v>AVIOR CAL</v>
          </cell>
          <cell r="AM117" t="str">
            <v>AV16 HENKEL TOLUCA</v>
          </cell>
          <cell r="AN117"/>
          <cell r="AO117"/>
          <cell r="AP117" t="str">
            <v>10081433</v>
          </cell>
          <cell r="AR117" t="str">
            <v>Aministrativo</v>
          </cell>
        </row>
        <row r="118">
          <cell r="A118" t="str">
            <v>161693</v>
          </cell>
          <cell r="B118" t="str">
            <v>LOZANO ORTIZ DAVID</v>
          </cell>
          <cell r="C118" t="str">
            <v>AUXILIAR DE SERVICIOS GENERALES</v>
          </cell>
          <cell r="D118" t="str">
            <v>SERVICIOS GENERALES</v>
          </cell>
          <cell r="E118" t="str">
            <v>AV01011201 HENKEL TOL ALMACEN</v>
          </cell>
          <cell r="F118" t="str">
            <v>24/01/2024</v>
          </cell>
          <cell r="G118"/>
          <cell r="H118" t="str">
            <v>ALTA</v>
          </cell>
          <cell r="I118" t="str">
            <v>CONTRATACION</v>
          </cell>
          <cell r="J118">
            <v>248.93</v>
          </cell>
          <cell r="K118">
            <v>261.17</v>
          </cell>
          <cell r="L118" t="str">
            <v>SEM16</v>
          </cell>
          <cell r="M118" t="str">
            <v>16 SINDICALIZADO - TOLUCA HENK</v>
          </cell>
          <cell r="N118" t="str">
            <v>25/06/2005</v>
          </cell>
          <cell r="O118" t="str">
            <v>LOOD050625PA6</v>
          </cell>
          <cell r="P118" t="str">
            <v>LOOD050625HMCZRVA6</v>
          </cell>
          <cell r="Q118" t="str">
            <v>18220519690</v>
          </cell>
          <cell r="R118" t="str">
            <v>DOLORES</v>
          </cell>
          <cell r="S118" t="str">
            <v>72</v>
          </cell>
          <cell r="T118"/>
          <cell r="U118" t="str">
            <v>XONACATLAN DE VICENCIO</v>
          </cell>
          <cell r="V118"/>
          <cell r="W118" t="str">
            <v>MEXICO</v>
          </cell>
          <cell r="X118">
            <v>52060</v>
          </cell>
          <cell r="Y118" t="str">
            <v>7223583592</v>
          </cell>
          <cell r="Z118"/>
          <cell r="AA118" t="str">
            <v>H</v>
          </cell>
          <cell r="AB118" t="str">
            <v>56883964859</v>
          </cell>
          <cell r="AC118" t="str">
            <v>PERMANENTE</v>
          </cell>
          <cell r="AD118" t="str">
            <v>MEXICO</v>
          </cell>
          <cell r="AE118" t="str">
            <v>SOLTERO(A)</v>
          </cell>
          <cell r="AF118" t="str">
            <v>PRIMARIA</v>
          </cell>
          <cell r="AG118" t="str">
            <v>CUOTA</v>
          </cell>
          <cell r="AH118"/>
          <cell r="AI118"/>
          <cell r="AJ118" t="str">
            <v>pponi2412@gmail.com</v>
          </cell>
          <cell r="AK118" t="str">
            <v>COSTO VARIABLE</v>
          </cell>
          <cell r="AL118" t="str">
            <v>AVIOR CAL</v>
          </cell>
          <cell r="AM118" t="str">
            <v>AV16 HENKEL TOLUCA</v>
          </cell>
          <cell r="AN118"/>
          <cell r="AO118"/>
          <cell r="AP118" t="str">
            <v>10081429</v>
          </cell>
          <cell r="AR118" t="str">
            <v>Sindicalizado</v>
          </cell>
        </row>
        <row r="119">
          <cell r="A119" t="str">
            <v>161694</v>
          </cell>
          <cell r="B119" t="str">
            <v>MONTES DE OCA MARTINEZ DAVID</v>
          </cell>
          <cell r="C119" t="str">
            <v>AUXILIAR DE SERVICIOS GENERALES</v>
          </cell>
          <cell r="D119" t="str">
            <v>SERVICIOS GENERALES</v>
          </cell>
          <cell r="E119" t="str">
            <v>AV01011201 HENKEL TOL ALMACEN</v>
          </cell>
          <cell r="F119" t="str">
            <v>24/01/2024</v>
          </cell>
          <cell r="G119"/>
          <cell r="H119" t="str">
            <v>ALTA</v>
          </cell>
          <cell r="I119" t="str">
            <v>CONTRATACION</v>
          </cell>
          <cell r="J119">
            <v>248.93</v>
          </cell>
          <cell r="K119">
            <v>261.17</v>
          </cell>
          <cell r="L119" t="str">
            <v>SEM16</v>
          </cell>
          <cell r="M119" t="str">
            <v>16 SINDICALIZADO - TOLUCA HENK</v>
          </cell>
          <cell r="N119" t="str">
            <v>31/05/1988</v>
          </cell>
          <cell r="O119" t="str">
            <v>MOMD8805319Z1</v>
          </cell>
          <cell r="P119" t="str">
            <v>MOMD880531HMCNRV07</v>
          </cell>
          <cell r="Q119" t="str">
            <v>16068875026</v>
          </cell>
          <cell r="R119" t="str">
            <v>RAMON PEREZ</v>
          </cell>
          <cell r="S119" t="str">
            <v>265</v>
          </cell>
          <cell r="T119"/>
          <cell r="U119" t="str">
            <v>RANCHO LA MORA</v>
          </cell>
          <cell r="V119"/>
          <cell r="W119" t="str">
            <v>MEXICO</v>
          </cell>
          <cell r="X119">
            <v>50020</v>
          </cell>
          <cell r="Y119" t="str">
            <v>7224044774</v>
          </cell>
          <cell r="Z119"/>
          <cell r="AA119" t="str">
            <v>H</v>
          </cell>
          <cell r="AB119" t="str">
            <v>56883444374</v>
          </cell>
          <cell r="AC119" t="str">
            <v>PERMANENTE</v>
          </cell>
          <cell r="AD119" t="str">
            <v>MEXICO</v>
          </cell>
          <cell r="AE119" t="str">
            <v>SOLTERO(A)</v>
          </cell>
          <cell r="AF119" t="str">
            <v>SECUNDARIA</v>
          </cell>
          <cell r="AG119" t="str">
            <v>CUOTA</v>
          </cell>
          <cell r="AH119"/>
          <cell r="AI119"/>
          <cell r="AJ119" t="str">
            <v>kuback_10@msn.com</v>
          </cell>
          <cell r="AK119" t="str">
            <v>COSTO VARIABLE</v>
          </cell>
          <cell r="AL119" t="str">
            <v>AVIOR CAL</v>
          </cell>
          <cell r="AM119" t="str">
            <v>AV16 HENKEL TOLUCA</v>
          </cell>
          <cell r="AN119"/>
          <cell r="AO119"/>
          <cell r="AP119" t="str">
            <v>10081421</v>
          </cell>
          <cell r="AR119" t="str">
            <v>Sindicalizado</v>
          </cell>
        </row>
        <row r="120">
          <cell r="A120" t="str">
            <v>161695</v>
          </cell>
          <cell r="B120" t="str">
            <v>CRUZ MEJIA ERNESTO</v>
          </cell>
          <cell r="C120" t="str">
            <v>AUXILIAR DE SERVICIOS GENERALES</v>
          </cell>
          <cell r="D120" t="str">
            <v>SERVICIOS GENERALES</v>
          </cell>
          <cell r="E120" t="str">
            <v>AV01011201 HENKEL TOL ALMACEN</v>
          </cell>
          <cell r="F120" t="str">
            <v>31/01/2024</v>
          </cell>
          <cell r="G120"/>
          <cell r="H120" t="str">
            <v>ALTA</v>
          </cell>
          <cell r="I120" t="str">
            <v>CONTRATACION</v>
          </cell>
          <cell r="J120">
            <v>248.93</v>
          </cell>
          <cell r="K120">
            <v>261.17</v>
          </cell>
          <cell r="L120" t="str">
            <v>SEM16</v>
          </cell>
          <cell r="M120" t="str">
            <v>16 SINDICALIZADO - TOLUCA HENK</v>
          </cell>
          <cell r="N120" t="str">
            <v>10/05/1992</v>
          </cell>
          <cell r="O120" t="str">
            <v>CUME920510BYA</v>
          </cell>
          <cell r="P120" t="str">
            <v>CUME920510HMCRJR06</v>
          </cell>
          <cell r="Q120" t="str">
            <v>16109210589</v>
          </cell>
          <cell r="R120" t="str">
            <v>FILIBERTO NAVA</v>
          </cell>
          <cell r="S120" t="str">
            <v>S/N</v>
          </cell>
          <cell r="T120"/>
          <cell r="U120" t="str">
            <v>NIÑOS HEROES</v>
          </cell>
          <cell r="V120"/>
          <cell r="W120" t="str">
            <v>MEXICO</v>
          </cell>
          <cell r="X120">
            <v>50100</v>
          </cell>
          <cell r="Y120" t="str">
            <v>7227602444</v>
          </cell>
          <cell r="Z120"/>
          <cell r="AA120" t="str">
            <v>H</v>
          </cell>
          <cell r="AB120" t="str">
            <v>56884605835</v>
          </cell>
          <cell r="AC120" t="str">
            <v>PERMANENTE</v>
          </cell>
          <cell r="AD120" t="str">
            <v>MEXICO</v>
          </cell>
          <cell r="AE120" t="str">
            <v>SOLTERO(A)</v>
          </cell>
          <cell r="AF120" t="str">
            <v>SECUNDARIA</v>
          </cell>
          <cell r="AG120" t="str">
            <v>CUOTA</v>
          </cell>
          <cell r="AH120"/>
          <cell r="AI120"/>
          <cell r="AJ120" t="str">
            <v>cume920510@gmail.com</v>
          </cell>
          <cell r="AK120" t="str">
            <v>COSTO VARIABLE</v>
          </cell>
          <cell r="AL120" t="str">
            <v>AVIOR CAL</v>
          </cell>
          <cell r="AM120" t="str">
            <v>AV16 HENKEL TOLUCA</v>
          </cell>
          <cell r="AN120"/>
          <cell r="AO120"/>
          <cell r="AP120" t="str">
            <v>10081633</v>
          </cell>
          <cell r="AR120" t="str">
            <v>Sindicalizado</v>
          </cell>
        </row>
        <row r="121">
          <cell r="A121" t="str">
            <v>161696</v>
          </cell>
          <cell r="B121" t="str">
            <v>ROMERO MAURICIO ISAAC EDUARDO</v>
          </cell>
          <cell r="C121" t="str">
            <v>AUXILIAR DE SERVICIOS GENERALES</v>
          </cell>
          <cell r="D121" t="str">
            <v>SERVICIOS GENERALES</v>
          </cell>
          <cell r="E121" t="str">
            <v>AV01011201 HENKEL TOL ALMACEN</v>
          </cell>
          <cell r="F121" t="str">
            <v>31/01/2024</v>
          </cell>
          <cell r="G121"/>
          <cell r="H121" t="str">
            <v>ALTA</v>
          </cell>
          <cell r="I121" t="str">
            <v>CONTRATACION</v>
          </cell>
          <cell r="J121">
            <v>248.93</v>
          </cell>
          <cell r="K121">
            <v>261.17</v>
          </cell>
          <cell r="L121" t="str">
            <v>SEM16</v>
          </cell>
          <cell r="M121" t="str">
            <v>16 SINDICALIZADO - TOLUCA HENK</v>
          </cell>
          <cell r="N121" t="str">
            <v>09/12/2004</v>
          </cell>
          <cell r="O121" t="str">
            <v>ROMI0412092A0</v>
          </cell>
          <cell r="P121" t="str">
            <v>ROMI041209HMCMRSA1</v>
          </cell>
          <cell r="Q121" t="str">
            <v>18210459402</v>
          </cell>
          <cell r="R121" t="str">
            <v>REVOLUCION</v>
          </cell>
          <cell r="S121" t="str">
            <v>199</v>
          </cell>
          <cell r="T121"/>
          <cell r="U121" t="str">
            <v>SAN CRISTOBAL HUICHOCHITLAN</v>
          </cell>
          <cell r="V121"/>
          <cell r="W121" t="str">
            <v>MEXICO</v>
          </cell>
          <cell r="X121">
            <v>50200</v>
          </cell>
          <cell r="Y121" t="str">
            <v>7292662286</v>
          </cell>
          <cell r="Z121"/>
          <cell r="AA121" t="str">
            <v>H</v>
          </cell>
          <cell r="AB121" t="str">
            <v>56884590551</v>
          </cell>
          <cell r="AC121" t="str">
            <v>PERMANENTE</v>
          </cell>
          <cell r="AD121" t="str">
            <v>MEXICO</v>
          </cell>
          <cell r="AE121" t="str">
            <v>SOLTERO(A)</v>
          </cell>
          <cell r="AF121" t="str">
            <v>SECUNDARIA</v>
          </cell>
          <cell r="AG121" t="str">
            <v>CUOTA</v>
          </cell>
          <cell r="AH121"/>
          <cell r="AI121"/>
          <cell r="AJ121" t="str">
            <v>isaacaduardoromero645@gmail.com</v>
          </cell>
          <cell r="AK121" t="str">
            <v>COSTO VARIABLE</v>
          </cell>
          <cell r="AL121" t="str">
            <v>AVIOR CAL</v>
          </cell>
          <cell r="AM121" t="str">
            <v>AV16 HENKEL TOLUCA</v>
          </cell>
          <cell r="AN121"/>
          <cell r="AO121"/>
          <cell r="AP121" t="str">
            <v>10081628</v>
          </cell>
          <cell r="AR121" t="str">
            <v>Sindicalizado</v>
          </cell>
        </row>
        <row r="122">
          <cell r="A122" t="str">
            <v>161697</v>
          </cell>
          <cell r="B122" t="str">
            <v>SANCHEZ MORALES FABIAN</v>
          </cell>
          <cell r="C122" t="str">
            <v>AUXILIAR DE SERVICIOS GENERALES</v>
          </cell>
          <cell r="D122" t="str">
            <v>SERVICIOS GENERALES</v>
          </cell>
          <cell r="E122" t="str">
            <v>AV01011201 HENKEL TOL ALMACEN</v>
          </cell>
          <cell r="F122" t="str">
            <v>31/01/2024</v>
          </cell>
          <cell r="G122"/>
          <cell r="H122" t="str">
            <v>ALTA</v>
          </cell>
          <cell r="I122" t="str">
            <v>CONTRATACION</v>
          </cell>
          <cell r="J122">
            <v>248.93</v>
          </cell>
          <cell r="K122">
            <v>261.17</v>
          </cell>
          <cell r="L122" t="str">
            <v>SEM16</v>
          </cell>
          <cell r="M122" t="str">
            <v>16 SINDICALIZADO - TOLUCA HENK</v>
          </cell>
          <cell r="N122" t="str">
            <v>10/11/1995</v>
          </cell>
          <cell r="O122" t="str">
            <v>SAMF9511103E2</v>
          </cell>
          <cell r="P122" t="str">
            <v>SAMF951110HMCNRB05</v>
          </cell>
          <cell r="Q122" t="str">
            <v>16139586909</v>
          </cell>
          <cell r="R122" t="str">
            <v>PRIV DURAZNOS 101 MZ 8 LT</v>
          </cell>
          <cell r="S122" t="str">
            <v>72</v>
          </cell>
          <cell r="T122"/>
          <cell r="U122" t="str">
            <v>LOS SAUCES I</v>
          </cell>
          <cell r="V122"/>
          <cell r="W122" t="str">
            <v>MEXICO</v>
          </cell>
          <cell r="X122">
            <v>50200</v>
          </cell>
          <cell r="Y122" t="str">
            <v>7225658171</v>
          </cell>
          <cell r="Z122"/>
          <cell r="AA122" t="str">
            <v>H</v>
          </cell>
          <cell r="AB122" t="str">
            <v>56884532065</v>
          </cell>
          <cell r="AC122" t="str">
            <v>PERMANENTE</v>
          </cell>
          <cell r="AD122" t="str">
            <v>MEXICO</v>
          </cell>
          <cell r="AE122" t="str">
            <v>UNION LIBRE</v>
          </cell>
          <cell r="AF122" t="str">
            <v>BACHILLERATO</v>
          </cell>
          <cell r="AG122" t="str">
            <v>CUOTA</v>
          </cell>
          <cell r="AH122"/>
          <cell r="AI122"/>
          <cell r="AJ122" t="str">
            <v>fabians204@gmail.com</v>
          </cell>
          <cell r="AK122" t="str">
            <v>COSTO VARIABLE</v>
          </cell>
          <cell r="AL122" t="str">
            <v>AVIOR CAL</v>
          </cell>
          <cell r="AM122" t="str">
            <v>AV16 HENKEL TOLUCA</v>
          </cell>
          <cell r="AN122"/>
          <cell r="AO122"/>
          <cell r="AP122" t="str">
            <v>10081627</v>
          </cell>
          <cell r="AR122" t="str">
            <v>Sindicalizado</v>
          </cell>
        </row>
        <row r="123">
          <cell r="A123" t="str">
            <v>171384</v>
          </cell>
          <cell r="B123" t="str">
            <v>SOTO GARCIA RODRIGO</v>
          </cell>
          <cell r="C123" t="str">
            <v>AYUDANTE GENERAL</v>
          </cell>
          <cell r="D123" t="str">
            <v>PLANEACION Y LOGISTICA</v>
          </cell>
          <cell r="E123" t="str">
            <v>AV01020701 HISENSE CUOTA ADMINISTRATIVA</v>
          </cell>
          <cell r="F123" t="str">
            <v>03/01/2024</v>
          </cell>
          <cell r="G123" t="str">
            <v>17/01/2024</v>
          </cell>
          <cell r="H123" t="str">
            <v>BAJA</v>
          </cell>
          <cell r="I123" t="str">
            <v>ABANDONO DE EMPLEO</v>
          </cell>
          <cell r="J123">
            <v>248.93</v>
          </cell>
          <cell r="K123">
            <v>261.2</v>
          </cell>
          <cell r="L123" t="str">
            <v>SEM17</v>
          </cell>
          <cell r="M123" t="str">
            <v>17 SINDICALIZADO - MEX HISENSE</v>
          </cell>
          <cell r="N123" t="str">
            <v>29/07/1995</v>
          </cell>
          <cell r="O123" t="str">
            <v>SOGR950729GX5</v>
          </cell>
          <cell r="P123" t="str">
            <v>SOGR950729HDFTRD00</v>
          </cell>
          <cell r="Q123" t="str">
            <v>70149518790</v>
          </cell>
          <cell r="R123" t="str">
            <v>SECTOR 19 MZ 48 LT 20 CS 1</v>
          </cell>
          <cell r="S123"/>
          <cell r="T123"/>
          <cell r="U123" t="str">
            <v>FRACC HEROES TECAMAC</v>
          </cell>
          <cell r="V123"/>
          <cell r="W123" t="str">
            <v>MEXICO</v>
          </cell>
          <cell r="X123">
            <v>55763</v>
          </cell>
          <cell r="Y123" t="str">
            <v>5616688991</v>
          </cell>
          <cell r="Z123"/>
          <cell r="AA123" t="str">
            <v>H</v>
          </cell>
          <cell r="AB123" t="str">
            <v>56882265548</v>
          </cell>
          <cell r="AC123" t="str">
            <v>PERMANENTE</v>
          </cell>
          <cell r="AD123" t="str">
            <v>DISTRITO FEDERAL</v>
          </cell>
          <cell r="AE123" t="str">
            <v>SOLTERO(A)</v>
          </cell>
          <cell r="AF123" t="str">
            <v>BACHILLERATO</v>
          </cell>
          <cell r="AG123" t="str">
            <v>(OMISION)</v>
          </cell>
          <cell r="AH123"/>
          <cell r="AI123"/>
          <cell r="AJ123" t="str">
            <v>tadeos0321@gmail.com</v>
          </cell>
          <cell r="AK123" t="str">
            <v>COSTO VARIABLE</v>
          </cell>
          <cell r="AL123" t="str">
            <v>AVIOR CAL</v>
          </cell>
          <cell r="AM123" t="str">
            <v>AV17 HISENSE EDOMX</v>
          </cell>
          <cell r="AN123"/>
          <cell r="AO123"/>
          <cell r="AP123" t="str">
            <v>10080528</v>
          </cell>
          <cell r="AR123" t="str">
            <v>Sindicalizado</v>
          </cell>
        </row>
        <row r="124">
          <cell r="A124" t="str">
            <v>171385</v>
          </cell>
          <cell r="B124" t="str">
            <v>BRICEÑO NIETO IKER JOVANI</v>
          </cell>
          <cell r="C124" t="str">
            <v>AYUDANTE GENERAL</v>
          </cell>
          <cell r="D124" t="str">
            <v>PLANEACION Y LOGISTICA</v>
          </cell>
          <cell r="E124" t="str">
            <v>AV01020701 HISENSE CUOTA ADMINISTRATIVA</v>
          </cell>
          <cell r="F124" t="str">
            <v>04/01/2024</v>
          </cell>
          <cell r="G124" t="str">
            <v>17/01/2024</v>
          </cell>
          <cell r="H124" t="str">
            <v>BAJA</v>
          </cell>
          <cell r="I124" t="str">
            <v>ABANDONO DE EMPLEO</v>
          </cell>
          <cell r="J124">
            <v>248.93</v>
          </cell>
          <cell r="K124">
            <v>261.17</v>
          </cell>
          <cell r="L124" t="str">
            <v>SEM17</v>
          </cell>
          <cell r="M124" t="str">
            <v>17 SINDICALIZADO - MEX HISENSE</v>
          </cell>
          <cell r="N124" t="str">
            <v>25/10/2003</v>
          </cell>
          <cell r="O124" t="str">
            <v>BINI0310252U3</v>
          </cell>
          <cell r="P124" t="str">
            <v>BINI031025HMCRTKA0</v>
          </cell>
          <cell r="Q124" t="str">
            <v>60180337929</v>
          </cell>
          <cell r="R124" t="str">
            <v>C TIANGUISTENGO MZ 204 LT 32</v>
          </cell>
          <cell r="S124"/>
          <cell r="T124"/>
          <cell r="U124" t="str">
            <v>COL LA SARDAÑA</v>
          </cell>
          <cell r="V124"/>
          <cell r="W124" t="str">
            <v>MEXICO</v>
          </cell>
          <cell r="X124">
            <v>54950</v>
          </cell>
          <cell r="Y124" t="str">
            <v>5676716127</v>
          </cell>
          <cell r="Z124"/>
          <cell r="AA124" t="str">
            <v>H</v>
          </cell>
          <cell r="AB124" t="str">
            <v>56877449367</v>
          </cell>
          <cell r="AC124" t="str">
            <v>PERMANENTE</v>
          </cell>
          <cell r="AD124" t="str">
            <v>MEXICO</v>
          </cell>
          <cell r="AE124" t="str">
            <v>SOLTERO(A)</v>
          </cell>
          <cell r="AF124" t="str">
            <v>BACHILLERATO</v>
          </cell>
          <cell r="AG124" t="str">
            <v>(OMISION)</v>
          </cell>
          <cell r="AH124"/>
          <cell r="AI124"/>
          <cell r="AJ124" t="str">
            <v>ikercro018@gmail.com</v>
          </cell>
          <cell r="AK124" t="str">
            <v>COSTO VARIABLE</v>
          </cell>
          <cell r="AL124" t="str">
            <v>AVIOR CAL</v>
          </cell>
          <cell r="AM124" t="str">
            <v>AV17 HISENSE EDOMX</v>
          </cell>
          <cell r="AN124"/>
          <cell r="AO124"/>
          <cell r="AP124" t="str">
            <v>10080557</v>
          </cell>
          <cell r="AR124" t="str">
            <v>Sindicalizado</v>
          </cell>
        </row>
        <row r="125">
          <cell r="A125" t="str">
            <v>171386</v>
          </cell>
          <cell r="B125" t="str">
            <v>MIRANDA PEREZ ARTURO DAVID</v>
          </cell>
          <cell r="C125" t="str">
            <v>AYUDANTE GENERAL</v>
          </cell>
          <cell r="D125" t="str">
            <v>PLANEACION Y LOGISTICA</v>
          </cell>
          <cell r="E125" t="str">
            <v>AV01020701 HISENSE CUOTA ADMINISTRATIVA</v>
          </cell>
          <cell r="F125" t="str">
            <v>04/01/2024</v>
          </cell>
          <cell r="G125" t="str">
            <v>23/01/2024</v>
          </cell>
          <cell r="H125" t="str">
            <v>BAJA</v>
          </cell>
          <cell r="I125" t="str">
            <v>ABANDONO DE EMPLEO</v>
          </cell>
          <cell r="J125">
            <v>248.93</v>
          </cell>
          <cell r="K125">
            <v>261.17</v>
          </cell>
          <cell r="L125" t="str">
            <v>SEM17</v>
          </cell>
          <cell r="M125" t="str">
            <v>17 SINDICALIZADO - MEX HISENSE</v>
          </cell>
          <cell r="N125" t="str">
            <v>11/03/2003</v>
          </cell>
          <cell r="O125" t="str">
            <v>MIPA030311QJ9</v>
          </cell>
          <cell r="P125" t="str">
            <v>MIPA030311HPLRRRA1</v>
          </cell>
          <cell r="Q125" t="str">
            <v>19190366567</v>
          </cell>
          <cell r="R125" t="str">
            <v>C LIBRA EDIF 41 DEPTO 201</v>
          </cell>
          <cell r="S125"/>
          <cell r="T125"/>
          <cell r="U125" t="str">
            <v>U MORELOS 3RA SECCION</v>
          </cell>
          <cell r="V125"/>
          <cell r="W125" t="str">
            <v>MEXICO</v>
          </cell>
          <cell r="X125">
            <v>54935</v>
          </cell>
          <cell r="Y125" t="str">
            <v>3221756922</v>
          </cell>
          <cell r="Z125"/>
          <cell r="AA125" t="str">
            <v>H</v>
          </cell>
          <cell r="AB125" t="str">
            <v>56881491066</v>
          </cell>
          <cell r="AC125" t="str">
            <v>PERMANENTE</v>
          </cell>
          <cell r="AD125" t="str">
            <v>PUEBLA</v>
          </cell>
          <cell r="AE125" t="str">
            <v>SOLTERO(A)</v>
          </cell>
          <cell r="AF125" t="str">
            <v>BACHILLERATO</v>
          </cell>
          <cell r="AG125" t="str">
            <v>(OMISION)</v>
          </cell>
          <cell r="AH125"/>
          <cell r="AI125"/>
          <cell r="AJ125" t="str">
            <v>davidmirandaperez241@gmail.com</v>
          </cell>
          <cell r="AK125" t="str">
            <v>COSTO VARIABLE</v>
          </cell>
          <cell r="AL125" t="str">
            <v>AVIOR CAL</v>
          </cell>
          <cell r="AM125" t="str">
            <v>AV17 HISENSE EDOMX</v>
          </cell>
          <cell r="AN125"/>
          <cell r="AO125"/>
          <cell r="AP125" t="str">
            <v>10080555</v>
          </cell>
          <cell r="AR125" t="str">
            <v>Sindicalizado</v>
          </cell>
        </row>
        <row r="126">
          <cell r="A126" t="str">
            <v>171387</v>
          </cell>
          <cell r="B126" t="str">
            <v>JIMENEZ MORALES GABRIELA AIDEE</v>
          </cell>
          <cell r="C126" t="str">
            <v>AUXILIAR DE LOGISTICA</v>
          </cell>
          <cell r="D126" t="str">
            <v>PLANEACION Y LOGISTICA</v>
          </cell>
          <cell r="E126" t="str">
            <v>AV01020702 HISENSE SERVICIOS ADICIONALES</v>
          </cell>
          <cell r="F126" t="str">
            <v>05/01/2024</v>
          </cell>
          <cell r="G126"/>
          <cell r="H126" t="str">
            <v>ALTA</v>
          </cell>
          <cell r="I126" t="str">
            <v>CONTRATACION</v>
          </cell>
          <cell r="J126">
            <v>304.93</v>
          </cell>
          <cell r="K126">
            <v>319.93</v>
          </cell>
          <cell r="L126" t="str">
            <v>SEM17</v>
          </cell>
          <cell r="M126" t="str">
            <v>17 CONFIANZA - MEXICO HISENSE</v>
          </cell>
          <cell r="N126" t="str">
            <v>06/10/1994</v>
          </cell>
          <cell r="O126" t="str">
            <v>JIMG941006FA4</v>
          </cell>
          <cell r="P126" t="str">
            <v>JIMG941006MMCMRB09</v>
          </cell>
          <cell r="Q126" t="str">
            <v>92139423716</v>
          </cell>
          <cell r="R126" t="str">
            <v>C HACIENDA DE LAS CAMELIAS 3 1</v>
          </cell>
          <cell r="S126"/>
          <cell r="T126"/>
          <cell r="U126" t="str">
            <v>FRACC HACIENDA REAL DE TULTEPE</v>
          </cell>
          <cell r="V126"/>
          <cell r="W126" t="str">
            <v>MEXICO</v>
          </cell>
          <cell r="X126">
            <v>54987</v>
          </cell>
          <cell r="Y126" t="str">
            <v>5519348050</v>
          </cell>
          <cell r="Z126"/>
          <cell r="AA126" t="str">
            <v>M</v>
          </cell>
          <cell r="AB126" t="str">
            <v>56882376564</v>
          </cell>
          <cell r="AC126" t="str">
            <v>PERMANENTE</v>
          </cell>
          <cell r="AD126" t="str">
            <v>MEXICO</v>
          </cell>
          <cell r="AE126" t="str">
            <v>SOLTERO(A)</v>
          </cell>
          <cell r="AF126" t="str">
            <v>BACHILLERATO</v>
          </cell>
          <cell r="AG126" t="str">
            <v>(OMISION)</v>
          </cell>
          <cell r="AH126"/>
          <cell r="AI126"/>
          <cell r="AJ126" t="str">
            <v>gabrielajimenz29@gmail.com</v>
          </cell>
          <cell r="AK126" t="str">
            <v>COSTO VARIABLE</v>
          </cell>
          <cell r="AL126" t="str">
            <v>AVIOR CAL</v>
          </cell>
          <cell r="AM126" t="str">
            <v>AV17 HISENSE EDOMX</v>
          </cell>
          <cell r="AN126"/>
          <cell r="AO126"/>
          <cell r="AP126" t="str">
            <v>10080589</v>
          </cell>
          <cell r="AR126" t="str">
            <v>Aministrativo</v>
          </cell>
        </row>
        <row r="127">
          <cell r="A127" t="str">
            <v>171388</v>
          </cell>
          <cell r="B127" t="str">
            <v>PRADO AGUILAR DANIEL</v>
          </cell>
          <cell r="C127" t="str">
            <v>MONTACARGUISTA</v>
          </cell>
          <cell r="D127" t="str">
            <v>PLANEACION Y LOGISTICA</v>
          </cell>
          <cell r="E127" t="str">
            <v>AV01020701 HISENSE CUOTA ADMINISTRATIVA</v>
          </cell>
          <cell r="F127" t="str">
            <v>05/01/2024</v>
          </cell>
          <cell r="G127"/>
          <cell r="H127" t="str">
            <v>ALTA</v>
          </cell>
          <cell r="I127" t="str">
            <v>CONTRATACION</v>
          </cell>
          <cell r="J127">
            <v>313.12</v>
          </cell>
          <cell r="K127">
            <v>328.52</v>
          </cell>
          <cell r="L127" t="str">
            <v>SEM17</v>
          </cell>
          <cell r="M127" t="str">
            <v>17 SINDICALIZADO - MEX HISENSE</v>
          </cell>
          <cell r="N127" t="str">
            <v>10/01/1986</v>
          </cell>
          <cell r="O127" t="str">
            <v>PAAD8601104E0</v>
          </cell>
          <cell r="P127" t="str">
            <v>PAAD860110HQTRGN08</v>
          </cell>
          <cell r="Q127" t="str">
            <v>94128603761</v>
          </cell>
          <cell r="R127" t="str">
            <v>AND PLAZA DE LA AMISTAD EDIF 2</v>
          </cell>
          <cell r="S127"/>
          <cell r="T127"/>
          <cell r="U127" t="str">
            <v>U HAB SAN PABLO III B</v>
          </cell>
          <cell r="V127"/>
          <cell r="W127" t="str">
            <v>MEXICO</v>
          </cell>
          <cell r="X127">
            <v>54930</v>
          </cell>
          <cell r="Y127" t="str">
            <v>5567898400</v>
          </cell>
          <cell r="Z127"/>
          <cell r="AA127" t="str">
            <v>H</v>
          </cell>
          <cell r="AB127" t="str">
            <v>56882406462</v>
          </cell>
          <cell r="AC127" t="str">
            <v>PERMANENTE</v>
          </cell>
          <cell r="AD127" t="str">
            <v>QUERETARO</v>
          </cell>
          <cell r="AE127" t="str">
            <v>SOLTERO(A)</v>
          </cell>
          <cell r="AF127" t="str">
            <v>BACHILLERATO</v>
          </cell>
          <cell r="AG127" t="str">
            <v>(OMISION)</v>
          </cell>
          <cell r="AH127"/>
          <cell r="AI127"/>
          <cell r="AJ127" t="str">
            <v>pradodaniel35059@gmail.com</v>
          </cell>
          <cell r="AK127" t="str">
            <v>COSTO VARIABLE</v>
          </cell>
          <cell r="AL127" t="str">
            <v>AVIOR CAL</v>
          </cell>
          <cell r="AM127" t="str">
            <v>AV17 HISENSE EDOMX</v>
          </cell>
          <cell r="AN127"/>
          <cell r="AO127"/>
          <cell r="AP127" t="str">
            <v>10080606</v>
          </cell>
          <cell r="AR127" t="str">
            <v>Sindicalizado</v>
          </cell>
        </row>
        <row r="128">
          <cell r="A128" t="str">
            <v>171389</v>
          </cell>
          <cell r="B128" t="str">
            <v>DE ROSAS GARCIA JORGE ABRAHAM</v>
          </cell>
          <cell r="C128" t="str">
            <v>AYUDANTE GENERAL</v>
          </cell>
          <cell r="D128" t="str">
            <v>PLANEACION Y LOGISTICA</v>
          </cell>
          <cell r="E128" t="str">
            <v>AV01020701 HISENSE CUOTA ADMINISTRATIVA</v>
          </cell>
          <cell r="F128" t="str">
            <v>05/01/2024</v>
          </cell>
          <cell r="G128" t="str">
            <v>02/02/2024</v>
          </cell>
          <cell r="H128" t="str">
            <v>BAJA</v>
          </cell>
          <cell r="I128" t="str">
            <v>TERMINO DE CONTRATO</v>
          </cell>
          <cell r="J128">
            <v>248.93</v>
          </cell>
          <cell r="K128">
            <v>261.17</v>
          </cell>
          <cell r="L128" t="str">
            <v>SEM17</v>
          </cell>
          <cell r="M128" t="str">
            <v>17 SINDICALIZADO - MEX HISENSE</v>
          </cell>
          <cell r="N128" t="str">
            <v>12/10/1999</v>
          </cell>
          <cell r="O128" t="str">
            <v>ROGJ991012R51</v>
          </cell>
          <cell r="P128" t="str">
            <v>ROGJ991012HDFSRR17</v>
          </cell>
          <cell r="Q128" t="str">
            <v>03209907207</v>
          </cell>
          <cell r="R128" t="str">
            <v>C ITURBIDE MZA 4 LT 29</v>
          </cell>
          <cell r="S128"/>
          <cell r="T128"/>
          <cell r="U128" t="str">
            <v>COL EL PROGRESO GUADALUPE VICT</v>
          </cell>
          <cell r="V128"/>
          <cell r="W128" t="str">
            <v>MEXICO</v>
          </cell>
          <cell r="X128">
            <v>55010</v>
          </cell>
          <cell r="Y128" t="str">
            <v>5611622905</v>
          </cell>
          <cell r="Z128"/>
          <cell r="AA128" t="str">
            <v>H</v>
          </cell>
          <cell r="AB128" t="str">
            <v>56882399580</v>
          </cell>
          <cell r="AC128" t="str">
            <v>PERMANENTE</v>
          </cell>
          <cell r="AD128" t="str">
            <v>MEXICO</v>
          </cell>
          <cell r="AE128" t="str">
            <v>SOLTERO(A)</v>
          </cell>
          <cell r="AF128" t="str">
            <v>SECUNDARIA</v>
          </cell>
          <cell r="AG128" t="str">
            <v>(OMISION)</v>
          </cell>
          <cell r="AH128"/>
          <cell r="AI128"/>
          <cell r="AJ128" t="str">
            <v>jorgegarcia10806521@gmail.com</v>
          </cell>
          <cell r="AK128" t="str">
            <v>COSTO VARIABLE</v>
          </cell>
          <cell r="AL128" t="str">
            <v>AVIOR CAL</v>
          </cell>
          <cell r="AM128" t="str">
            <v>AV17 HISENSE EDOMX</v>
          </cell>
          <cell r="AN128"/>
          <cell r="AO128"/>
          <cell r="AP128" t="str">
            <v>10080600</v>
          </cell>
          <cell r="AR128" t="str">
            <v>Sindicalizado</v>
          </cell>
        </row>
        <row r="129">
          <cell r="A129" t="str">
            <v>171390</v>
          </cell>
          <cell r="B129" t="str">
            <v>REYES CABRERA EDWIN OMAR</v>
          </cell>
          <cell r="C129" t="str">
            <v>COORDINADOR DE OPERACIONES</v>
          </cell>
          <cell r="D129" t="str">
            <v>OPERACIONES</v>
          </cell>
          <cell r="E129" t="str">
            <v>AV01020703 HISENSE CUOTA EXTRAORDINARIA</v>
          </cell>
          <cell r="F129" t="str">
            <v>08/01/2024</v>
          </cell>
          <cell r="G129"/>
          <cell r="H129" t="str">
            <v>ALTA</v>
          </cell>
          <cell r="I129" t="str">
            <v>CONTRATACION</v>
          </cell>
          <cell r="J129">
            <v>833.33</v>
          </cell>
          <cell r="K129">
            <v>874.31</v>
          </cell>
          <cell r="L129" t="str">
            <v>QUIN17</v>
          </cell>
          <cell r="M129" t="str">
            <v>17 CONFIANZA - MEXICO HISENSE</v>
          </cell>
          <cell r="N129" t="str">
            <v>14/05/1995</v>
          </cell>
          <cell r="O129" t="str">
            <v>RECE9505144D9</v>
          </cell>
          <cell r="P129" t="str">
            <v>RECE950514HMCYBD04</v>
          </cell>
          <cell r="Q129" t="str">
            <v>94109517386</v>
          </cell>
          <cell r="R129" t="str">
            <v>MZA E LT 22 EDIF 1 DPTO 102</v>
          </cell>
          <cell r="S129"/>
          <cell r="T129"/>
          <cell r="U129" t="str">
            <v>U HAB SAN RAFAEL</v>
          </cell>
          <cell r="V129"/>
          <cell r="W129" t="str">
            <v>MEXICO</v>
          </cell>
          <cell r="X129">
            <v>55719</v>
          </cell>
          <cell r="Y129" t="str">
            <v>5611925096</v>
          </cell>
          <cell r="Z129"/>
          <cell r="AA129" t="str">
            <v>H</v>
          </cell>
          <cell r="AB129" t="str">
            <v>56882074419</v>
          </cell>
          <cell r="AC129" t="str">
            <v>PERMANENTE</v>
          </cell>
          <cell r="AD129" t="str">
            <v>MEXICO</v>
          </cell>
          <cell r="AE129" t="str">
            <v>SOLTERO(A)</v>
          </cell>
          <cell r="AF129" t="str">
            <v>PROFESIONAL</v>
          </cell>
          <cell r="AG129" t="str">
            <v>(OMISION)</v>
          </cell>
          <cell r="AH129"/>
          <cell r="AI129"/>
          <cell r="AJ129" t="str">
            <v>edwinomarreyes3@gmail.com</v>
          </cell>
          <cell r="AK129" t="str">
            <v>COSTO VARIABLE</v>
          </cell>
          <cell r="AL129" t="str">
            <v>AVIOR CAL</v>
          </cell>
          <cell r="AM129" t="str">
            <v>AV17 HISENSE EDOMX</v>
          </cell>
          <cell r="AN129"/>
          <cell r="AO129"/>
          <cell r="AP129" t="str">
            <v>10080695</v>
          </cell>
          <cell r="AR129" t="str">
            <v>Aministrativo</v>
          </cell>
        </row>
        <row r="130">
          <cell r="A130" t="str">
            <v>171391</v>
          </cell>
          <cell r="B130" t="str">
            <v>MEDINA GARCIA CLAUDIA EDITH</v>
          </cell>
          <cell r="C130" t="str">
            <v>AUXILIAR DE INTENDENCIA</v>
          </cell>
          <cell r="D130" t="str">
            <v>SERVICIOS GENERALES</v>
          </cell>
          <cell r="E130" t="str">
            <v>AV01020701 HISENSE CUOTA ADMINISTRATIVA</v>
          </cell>
          <cell r="F130" t="str">
            <v>09/01/2024</v>
          </cell>
          <cell r="G130"/>
          <cell r="H130" t="str">
            <v>ALTA</v>
          </cell>
          <cell r="I130" t="str">
            <v>CONTRATACION</v>
          </cell>
          <cell r="J130">
            <v>248.93</v>
          </cell>
          <cell r="K130">
            <v>261.17</v>
          </cell>
          <cell r="L130" t="str">
            <v>SEM17</v>
          </cell>
          <cell r="M130" t="str">
            <v>17 CONFIANZA - MEXICO HISENSE</v>
          </cell>
          <cell r="N130" t="str">
            <v>01/12/1984</v>
          </cell>
          <cell r="O130" t="str">
            <v>MEGC841201IB4</v>
          </cell>
          <cell r="P130" t="str">
            <v>MEGC841201MDFDRL06</v>
          </cell>
          <cell r="Q130" t="str">
            <v>94088401032</v>
          </cell>
          <cell r="R130" t="str">
            <v>C ACACIAS 442</v>
          </cell>
          <cell r="S130"/>
          <cell r="T130"/>
          <cell r="U130" t="str">
            <v>FRACC VILLA DE LAS FLORES</v>
          </cell>
          <cell r="V130"/>
          <cell r="W130" t="str">
            <v>MEXICO</v>
          </cell>
          <cell r="X130">
            <v>55710</v>
          </cell>
          <cell r="Y130" t="str">
            <v>5513504279</v>
          </cell>
          <cell r="Z130"/>
          <cell r="AA130" t="str">
            <v>M</v>
          </cell>
          <cell r="AB130" t="str">
            <v>56882616693</v>
          </cell>
          <cell r="AC130" t="str">
            <v>PERMANENTE</v>
          </cell>
          <cell r="AD130" t="str">
            <v>DISTRITO FEDERAL</v>
          </cell>
          <cell r="AE130" t="str">
            <v>UNION LIBRE</v>
          </cell>
          <cell r="AF130" t="str">
            <v>SECUNDARIA</v>
          </cell>
          <cell r="AG130" t="str">
            <v>(OMISION)</v>
          </cell>
          <cell r="AH130"/>
          <cell r="AI130"/>
          <cell r="AJ130" t="str">
            <v>clausedi15@gmail.com</v>
          </cell>
          <cell r="AK130" t="str">
            <v>COSTO VARIABLE</v>
          </cell>
          <cell r="AL130" t="str">
            <v>AVIOR CAL</v>
          </cell>
          <cell r="AM130" t="str">
            <v>AV17 HISENSE EDOMX</v>
          </cell>
          <cell r="AN130"/>
          <cell r="AO130"/>
          <cell r="AP130" t="str">
            <v>10080757</v>
          </cell>
          <cell r="AR130" t="str">
            <v>Aministrativo</v>
          </cell>
        </row>
        <row r="131">
          <cell r="A131" t="str">
            <v>171392</v>
          </cell>
          <cell r="B131" t="str">
            <v>UREÑA BAZAN KEVIN IRVING</v>
          </cell>
          <cell r="C131" t="str">
            <v>COORDINADOR DE INVENTARIOS</v>
          </cell>
          <cell r="D131" t="str">
            <v>PLANEACION Y LOGISTICA</v>
          </cell>
          <cell r="E131" t="str">
            <v>AV01020702 HISENSE SERVICIOS ADICIONALES</v>
          </cell>
          <cell r="F131" t="str">
            <v>09/01/2024</v>
          </cell>
          <cell r="G131"/>
          <cell r="H131" t="str">
            <v>ALTA</v>
          </cell>
          <cell r="I131" t="str">
            <v>CONTRATACION</v>
          </cell>
          <cell r="J131">
            <v>833.33</v>
          </cell>
          <cell r="K131">
            <v>874.31</v>
          </cell>
          <cell r="L131" t="str">
            <v>QUIN17</v>
          </cell>
          <cell r="M131" t="str">
            <v>17 CONFIANZA - MEXICO HISENSE</v>
          </cell>
          <cell r="N131" t="str">
            <v>19/10/1994</v>
          </cell>
          <cell r="O131" t="str">
            <v>UEBK941019BP6</v>
          </cell>
          <cell r="P131" t="str">
            <v>UEBK941019HDFRZV00</v>
          </cell>
          <cell r="Q131" t="str">
            <v>06199456473</v>
          </cell>
          <cell r="R131" t="str">
            <v>C FUENTE DE SANSON 50 B</v>
          </cell>
          <cell r="S131"/>
          <cell r="T131"/>
          <cell r="U131" t="str">
            <v>FRACC FUENTES DEL VALLE</v>
          </cell>
          <cell r="V131"/>
          <cell r="W131" t="str">
            <v>MEXICO</v>
          </cell>
          <cell r="X131">
            <v>54910</v>
          </cell>
          <cell r="Y131" t="str">
            <v>5616818617</v>
          </cell>
          <cell r="Z131"/>
          <cell r="AA131" t="str">
            <v>H</v>
          </cell>
          <cell r="AB131" t="str">
            <v>56882601502</v>
          </cell>
          <cell r="AC131" t="str">
            <v>PERMANENTE</v>
          </cell>
          <cell r="AD131" t="str">
            <v>DISTRITO FEDERAL</v>
          </cell>
          <cell r="AE131" t="str">
            <v>SOLTERO(A)</v>
          </cell>
          <cell r="AF131" t="str">
            <v>PROFESIONAL</v>
          </cell>
          <cell r="AG131" t="str">
            <v>(OMISION)</v>
          </cell>
          <cell r="AH131"/>
          <cell r="AI131"/>
          <cell r="AJ131" t="str">
            <v>kevinirvingurenabazan@gmail.com</v>
          </cell>
          <cell r="AK131" t="str">
            <v>COSTO VARIABLE</v>
          </cell>
          <cell r="AL131" t="str">
            <v>AVIOR CAL</v>
          </cell>
          <cell r="AM131" t="str">
            <v>AV17 HISENSE EDOMX</v>
          </cell>
          <cell r="AN131"/>
          <cell r="AO131"/>
          <cell r="AP131" t="str">
            <v>10080742</v>
          </cell>
          <cell r="AR131" t="str">
            <v>Aministrativo</v>
          </cell>
        </row>
        <row r="132">
          <cell r="A132" t="str">
            <v>171393</v>
          </cell>
          <cell r="B132" t="str">
            <v>REYES RODRIGUEZ ROSENBERG EMMANUEL</v>
          </cell>
          <cell r="C132" t="str">
            <v>AYUDANTE GENERAL</v>
          </cell>
          <cell r="D132" t="str">
            <v>PLANEACION Y LOGISTICA</v>
          </cell>
          <cell r="E132" t="str">
            <v>AV01020704 HISENSE OVERFLOW</v>
          </cell>
          <cell r="F132" t="str">
            <v>11/01/2024</v>
          </cell>
          <cell r="G132"/>
          <cell r="H132" t="str">
            <v>ALTA</v>
          </cell>
          <cell r="I132" t="str">
            <v>CONTRATACION</v>
          </cell>
          <cell r="J132">
            <v>248.93</v>
          </cell>
          <cell r="K132">
            <v>261.17</v>
          </cell>
          <cell r="L132" t="str">
            <v>SEM17</v>
          </cell>
          <cell r="M132" t="str">
            <v>17 SINDICALIZADO - MEX HISENSE</v>
          </cell>
          <cell r="N132" t="str">
            <v>22/07/1990</v>
          </cell>
          <cell r="O132" t="str">
            <v>RERR900722UC8</v>
          </cell>
          <cell r="P132" t="str">
            <v>RERR900722HMCYDS03</v>
          </cell>
          <cell r="Q132" t="str">
            <v>94119050642</v>
          </cell>
          <cell r="R132" t="str">
            <v>CDA JOSE LOPEZ PORTILLO 41 4</v>
          </cell>
          <cell r="S132"/>
          <cell r="T132"/>
          <cell r="U132" t="str">
            <v>COL COACALCO</v>
          </cell>
          <cell r="V132"/>
          <cell r="W132" t="str">
            <v>MEXICO</v>
          </cell>
          <cell r="X132">
            <v>55700</v>
          </cell>
          <cell r="Y132" t="str">
            <v>5527679080</v>
          </cell>
          <cell r="Z132"/>
          <cell r="AA132" t="str">
            <v>H</v>
          </cell>
          <cell r="AB132" t="str">
            <v>56882721061</v>
          </cell>
          <cell r="AC132" t="str">
            <v>PERMANENTE</v>
          </cell>
          <cell r="AD132" t="str">
            <v>MEXICO</v>
          </cell>
          <cell r="AE132" t="str">
            <v>SOLTERO(A)</v>
          </cell>
          <cell r="AF132" t="str">
            <v>SECUNDARIA</v>
          </cell>
          <cell r="AG132" t="str">
            <v>(OMISION)</v>
          </cell>
          <cell r="AH132"/>
          <cell r="AI132"/>
          <cell r="AJ132" t="str">
            <v>carmelitacedillo64@gmail.com</v>
          </cell>
          <cell r="AK132" t="str">
            <v>COSTO VARIABLE</v>
          </cell>
          <cell r="AL132" t="str">
            <v>AVIOR CAL</v>
          </cell>
          <cell r="AM132" t="str">
            <v>AV17 HISENSE EDOMX</v>
          </cell>
          <cell r="AN132"/>
          <cell r="AO132"/>
          <cell r="AP132" t="str">
            <v>10080822</v>
          </cell>
          <cell r="AR132" t="str">
            <v>Sindicalizado</v>
          </cell>
        </row>
        <row r="133">
          <cell r="A133" t="str">
            <v>171394</v>
          </cell>
          <cell r="B133" t="str">
            <v>LOTINA DE LA CRUZ TEODORO</v>
          </cell>
          <cell r="C133" t="str">
            <v>AYUDANTE GENERAL</v>
          </cell>
          <cell r="D133" t="str">
            <v>PLANEACION Y LOGISTICA</v>
          </cell>
          <cell r="E133" t="str">
            <v>AV01020704 HISENSE OVERFLOW</v>
          </cell>
          <cell r="F133" t="str">
            <v>12/01/2024</v>
          </cell>
          <cell r="G133" t="str">
            <v>17/01/2024</v>
          </cell>
          <cell r="H133" t="str">
            <v>BAJA</v>
          </cell>
          <cell r="I133" t="str">
            <v>ABANDONO DE EMPLEO</v>
          </cell>
          <cell r="J133">
            <v>248.93</v>
          </cell>
          <cell r="K133">
            <v>261.17</v>
          </cell>
          <cell r="L133" t="str">
            <v>SEM17</v>
          </cell>
          <cell r="M133" t="str">
            <v>17 SINDICALIZADO - MEX HISENSE</v>
          </cell>
          <cell r="N133" t="str">
            <v>22/09/1988</v>
          </cell>
          <cell r="O133" t="str">
            <v>LOCT8809228L8</v>
          </cell>
          <cell r="P133" t="str">
            <v>LOCT880922HMCTRD09</v>
          </cell>
          <cell r="Q133" t="str">
            <v>92078841381</v>
          </cell>
          <cell r="R133" t="str">
            <v>COND 5 CS 50</v>
          </cell>
          <cell r="S133"/>
          <cell r="T133"/>
          <cell r="U133" t="str">
            <v>FRACC LOS TEJADOS</v>
          </cell>
          <cell r="V133"/>
          <cell r="W133" t="str">
            <v>MEXICO</v>
          </cell>
          <cell r="X133">
            <v>54926</v>
          </cell>
          <cell r="Y133" t="str">
            <v>5566302259</v>
          </cell>
          <cell r="Z133"/>
          <cell r="AA133" t="str">
            <v>H</v>
          </cell>
          <cell r="AB133" t="str">
            <v>56806244313</v>
          </cell>
          <cell r="AC133" t="str">
            <v>PERMANENTE</v>
          </cell>
          <cell r="AD133" t="str">
            <v>MEXICO</v>
          </cell>
          <cell r="AE133" t="str">
            <v>UNION LIBRE</v>
          </cell>
          <cell r="AF133" t="str">
            <v>SECUNDARIA</v>
          </cell>
          <cell r="AG133" t="str">
            <v>(OMISION)</v>
          </cell>
          <cell r="AH133"/>
          <cell r="AI133"/>
          <cell r="AJ133" t="str">
            <v>lotinaleo@gmail.com</v>
          </cell>
          <cell r="AK133" t="str">
            <v>COSTO VARIABLE</v>
          </cell>
          <cell r="AL133" t="str">
            <v>AVIOR CAL</v>
          </cell>
          <cell r="AM133" t="str">
            <v>AV17 HISENSE EDOMX</v>
          </cell>
          <cell r="AN133"/>
          <cell r="AO133"/>
          <cell r="AP133" t="str">
            <v>10080967</v>
          </cell>
          <cell r="AR133" t="str">
            <v>Sindicalizado</v>
          </cell>
        </row>
        <row r="134">
          <cell r="A134" t="str">
            <v>171395</v>
          </cell>
          <cell r="B134" t="str">
            <v>MENDOZA GOMEZ BRITANNY SHERLYN</v>
          </cell>
          <cell r="C134" t="str">
            <v>CONTADOR CICLICO</v>
          </cell>
          <cell r="D134" t="str">
            <v>PLANEACION Y LOGISTICA</v>
          </cell>
          <cell r="E134" t="str">
            <v>AV01020701 HISENSE CUOTA ADMINISTRATIVA</v>
          </cell>
          <cell r="F134" t="str">
            <v>12/01/2024</v>
          </cell>
          <cell r="G134"/>
          <cell r="H134" t="str">
            <v>ALTA</v>
          </cell>
          <cell r="I134" t="str">
            <v>CONTRATACION</v>
          </cell>
          <cell r="J134">
            <v>302.10000000000002</v>
          </cell>
          <cell r="K134">
            <v>316.95999999999998</v>
          </cell>
          <cell r="L134" t="str">
            <v>SEM17</v>
          </cell>
          <cell r="M134" t="str">
            <v>17 CONFIANZA - MEXICO HISENSE</v>
          </cell>
          <cell r="N134" t="str">
            <v>17/07/2001</v>
          </cell>
          <cell r="O134" t="str">
            <v>MEGB0107178K4</v>
          </cell>
          <cell r="P134" t="str">
            <v>MEGB010717MMCNMRA3</v>
          </cell>
          <cell r="Q134" t="str">
            <v>88160104399</v>
          </cell>
          <cell r="R134" t="str">
            <v>CDA CLAVEL S/N</v>
          </cell>
          <cell r="S134"/>
          <cell r="T134"/>
          <cell r="U134" t="str">
            <v>COL BUENOS AIRES</v>
          </cell>
          <cell r="V134"/>
          <cell r="W134" t="str">
            <v>MEXICO</v>
          </cell>
          <cell r="X134">
            <v>56003</v>
          </cell>
          <cell r="Y134" t="str">
            <v>5579420219</v>
          </cell>
          <cell r="Z134"/>
          <cell r="AA134" t="str">
            <v>M</v>
          </cell>
          <cell r="AB134" t="str">
            <v>56882708937</v>
          </cell>
          <cell r="AC134" t="str">
            <v>PERMANENTE</v>
          </cell>
          <cell r="AD134" t="str">
            <v>DISTRITO FEDERAL</v>
          </cell>
          <cell r="AE134" t="str">
            <v>SOLTERO(A)</v>
          </cell>
          <cell r="AF134" t="str">
            <v>PROFESIONAL</v>
          </cell>
          <cell r="AG134" t="str">
            <v>(OMISION)</v>
          </cell>
          <cell r="AH134"/>
          <cell r="AI134"/>
          <cell r="AJ134" t="str">
            <v>sh3rlyn2001@gmail.com</v>
          </cell>
          <cell r="AK134" t="str">
            <v>COSTO VARIABLE</v>
          </cell>
          <cell r="AL134" t="str">
            <v>AVIOR CAL</v>
          </cell>
          <cell r="AM134" t="str">
            <v>AV17 HISENSE EDOMX</v>
          </cell>
          <cell r="AN134"/>
          <cell r="AO134"/>
          <cell r="AP134" t="str">
            <v>10080947</v>
          </cell>
          <cell r="AR134" t="str">
            <v>Aministrativo</v>
          </cell>
        </row>
        <row r="135">
          <cell r="A135" t="str">
            <v>171396</v>
          </cell>
          <cell r="B135" t="str">
            <v>CORONA HERNANDEZ JOSE LUIS</v>
          </cell>
          <cell r="C135" t="str">
            <v>AYUDANTE GENERAL</v>
          </cell>
          <cell r="D135" t="str">
            <v>PLANEACION Y LOGISTICA</v>
          </cell>
          <cell r="E135" t="str">
            <v>AV01020704 HISENSE OVERFLOW</v>
          </cell>
          <cell r="F135" t="str">
            <v>16/01/2024</v>
          </cell>
          <cell r="G135"/>
          <cell r="H135" t="str">
            <v>ALTA</v>
          </cell>
          <cell r="I135" t="str">
            <v>CONTRATACION</v>
          </cell>
          <cell r="J135">
            <v>248.93</v>
          </cell>
          <cell r="K135">
            <v>261.17</v>
          </cell>
          <cell r="L135" t="str">
            <v>SEM17</v>
          </cell>
          <cell r="M135" t="str">
            <v>17 SINDICALIZADO - MEX HISENSE</v>
          </cell>
          <cell r="N135" t="str">
            <v>14/05/1972</v>
          </cell>
          <cell r="O135" t="str">
            <v>COHL720514JL7</v>
          </cell>
          <cell r="P135" t="str">
            <v>COHL720514HDFRRS01</v>
          </cell>
          <cell r="Q135" t="str">
            <v>01897212021</v>
          </cell>
          <cell r="R135" t="str">
            <v>RET BOSQUE DE MOCTEZUMA</v>
          </cell>
          <cell r="S135" t="str">
            <v>60</v>
          </cell>
          <cell r="T135"/>
          <cell r="U135" t="str">
            <v>CONJUNTO DEL VALLE COACALCO</v>
          </cell>
          <cell r="V135"/>
          <cell r="W135" t="str">
            <v>MEXICO</v>
          </cell>
          <cell r="X135">
            <v>11000</v>
          </cell>
          <cell r="Y135" t="str">
            <v>5548972191</v>
          </cell>
          <cell r="Z135"/>
          <cell r="AA135" t="str">
            <v>H</v>
          </cell>
          <cell r="AB135" t="str">
            <v>56883155192</v>
          </cell>
          <cell r="AC135" t="str">
            <v>PERMANENTE</v>
          </cell>
          <cell r="AD135" t="str">
            <v>DISTRITO FEDERAL</v>
          </cell>
          <cell r="AE135" t="str">
            <v>SOLTERO(A)</v>
          </cell>
          <cell r="AF135" t="str">
            <v>PRIMARIA</v>
          </cell>
          <cell r="AG135" t="str">
            <v>(OMISION)</v>
          </cell>
          <cell r="AH135"/>
          <cell r="AI135"/>
          <cell r="AJ135" t="str">
            <v>joseluiscoronahernandez7@gmail.com</v>
          </cell>
          <cell r="AK135" t="str">
            <v>COSTO VARIABLE</v>
          </cell>
          <cell r="AL135" t="str">
            <v>AVIOR CAL</v>
          </cell>
          <cell r="AM135" t="str">
            <v>AV17 HISENSE EDOMX</v>
          </cell>
          <cell r="AN135"/>
          <cell r="AO135"/>
          <cell r="AP135" t="str">
            <v>10081110</v>
          </cell>
          <cell r="AR135" t="str">
            <v>Sindicalizado</v>
          </cell>
        </row>
        <row r="136">
          <cell r="A136" t="str">
            <v>171397</v>
          </cell>
          <cell r="B136" t="str">
            <v>GOMEZ PEREA JUAN CARLOS</v>
          </cell>
          <cell r="C136" t="str">
            <v>AYUDANTE GENERAL</v>
          </cell>
          <cell r="D136" t="str">
            <v>PLANEACION Y LOGISTICA</v>
          </cell>
          <cell r="E136" t="str">
            <v>AV01020704 HISENSE OVERFLOW</v>
          </cell>
          <cell r="F136" t="str">
            <v>16/01/2024</v>
          </cell>
          <cell r="G136" t="str">
            <v>02/02/2024</v>
          </cell>
          <cell r="H136" t="str">
            <v>BAJA</v>
          </cell>
          <cell r="I136" t="str">
            <v>TERMINO DE CONTRATO</v>
          </cell>
          <cell r="J136">
            <v>248.93</v>
          </cell>
          <cell r="K136">
            <v>261.17</v>
          </cell>
          <cell r="L136" t="str">
            <v>SEM17</v>
          </cell>
          <cell r="M136" t="str">
            <v>17 SINDICALIZADO - MEX HISENSE</v>
          </cell>
          <cell r="N136" t="str">
            <v>10/02/1970</v>
          </cell>
          <cell r="O136" t="str">
            <v>GOPJ700210LD2</v>
          </cell>
          <cell r="P136" t="str">
            <v>GOPJ700210HDFMRN08</v>
          </cell>
          <cell r="Q136" t="str">
            <v>03147091007</v>
          </cell>
          <cell r="R136" t="str">
            <v>alcanfores</v>
          </cell>
          <cell r="S136" t="str">
            <v>50</v>
          </cell>
          <cell r="T136"/>
          <cell r="U136" t="str">
            <v>VILLAS DE LAS FLORES</v>
          </cell>
          <cell r="V136"/>
          <cell r="W136" t="str">
            <v>MEXICO</v>
          </cell>
          <cell r="X136">
            <v>55710</v>
          </cell>
          <cell r="Y136" t="str">
            <v>5543233596</v>
          </cell>
          <cell r="Z136"/>
          <cell r="AA136" t="str">
            <v>H</v>
          </cell>
          <cell r="AB136" t="str">
            <v>56878643691</v>
          </cell>
          <cell r="AC136" t="str">
            <v>PERMANENTE</v>
          </cell>
          <cell r="AD136" t="str">
            <v>MEXICO</v>
          </cell>
          <cell r="AE136" t="str">
            <v>SOLTERO(A)</v>
          </cell>
          <cell r="AF136" t="str">
            <v>SECUNDARIA</v>
          </cell>
          <cell r="AG136" t="str">
            <v>(OMISION)</v>
          </cell>
          <cell r="AH136"/>
          <cell r="AI136"/>
          <cell r="AJ136" t="str">
            <v>juancarlosgomezperez72336@gmail.com</v>
          </cell>
          <cell r="AK136" t="str">
            <v>COSTO VARIABLE</v>
          </cell>
          <cell r="AL136" t="str">
            <v>AVIOR CAL</v>
          </cell>
          <cell r="AM136" t="str">
            <v>AV17 HISENSE EDOMX</v>
          </cell>
          <cell r="AN136"/>
          <cell r="AO136"/>
          <cell r="AP136" t="str">
            <v>10081113</v>
          </cell>
          <cell r="AR136" t="str">
            <v>Sindicalizado</v>
          </cell>
        </row>
        <row r="137">
          <cell r="A137" t="str">
            <v>171398</v>
          </cell>
          <cell r="B137" t="str">
            <v>BLAS ISHIHARA ANGEL DANIEL</v>
          </cell>
          <cell r="C137" t="str">
            <v>AYUDANTE GENERAL</v>
          </cell>
          <cell r="D137" t="str">
            <v>PLANEACION Y LOGISTICA</v>
          </cell>
          <cell r="E137" t="str">
            <v>AV01020704 HISENSE OVERFLOW</v>
          </cell>
          <cell r="F137" t="str">
            <v>17/01/2024</v>
          </cell>
          <cell r="G137" t="str">
            <v>23/01/2024</v>
          </cell>
          <cell r="H137" t="str">
            <v>BAJA</v>
          </cell>
          <cell r="I137" t="str">
            <v>ABANDONO DE EMPLEO</v>
          </cell>
          <cell r="J137">
            <v>248.93</v>
          </cell>
          <cell r="K137">
            <v>261.17</v>
          </cell>
          <cell r="L137" t="str">
            <v>SEM17</v>
          </cell>
          <cell r="M137" t="str">
            <v>17 SINDICALIZADO - MEX HISENSE</v>
          </cell>
          <cell r="N137" t="str">
            <v>09/10/2000</v>
          </cell>
          <cell r="O137" t="str">
            <v>BAIA001009CQA</v>
          </cell>
          <cell r="P137" t="str">
            <v>BAIA001009HMCLSNA9</v>
          </cell>
          <cell r="Q137" t="str">
            <v>20070000078</v>
          </cell>
          <cell r="R137" t="str">
            <v>C COND QUINTA 38</v>
          </cell>
          <cell r="S137"/>
          <cell r="T137"/>
          <cell r="U137" t="str">
            <v>FRACC VILLAS DE SAN JOSE</v>
          </cell>
          <cell r="V137"/>
          <cell r="W137" t="str">
            <v>MEXICO</v>
          </cell>
          <cell r="X137">
            <v>54910</v>
          </cell>
          <cell r="Y137" t="str">
            <v>5566049963</v>
          </cell>
          <cell r="Z137"/>
          <cell r="AA137" t="str">
            <v>H</v>
          </cell>
          <cell r="AB137" t="str">
            <v>56872364853</v>
          </cell>
          <cell r="AC137" t="str">
            <v>PERMANENTE</v>
          </cell>
          <cell r="AD137" t="str">
            <v>MEXICO</v>
          </cell>
          <cell r="AE137" t="str">
            <v>SOLTERO(A)</v>
          </cell>
          <cell r="AF137" t="str">
            <v>SECUNDARIA</v>
          </cell>
          <cell r="AG137" t="str">
            <v>(OMISION)</v>
          </cell>
          <cell r="AH137"/>
          <cell r="AI137"/>
          <cell r="AJ137" t="str">
            <v>ishiharadan1006@gmail.com</v>
          </cell>
          <cell r="AK137" t="str">
            <v>COSTO VARIABLE</v>
          </cell>
          <cell r="AL137" t="str">
            <v>AVIOR CAL</v>
          </cell>
          <cell r="AM137" t="str">
            <v>AV17 HISENSE EDOMX</v>
          </cell>
          <cell r="AN137"/>
          <cell r="AO137"/>
          <cell r="AP137" t="str">
            <v>10074384</v>
          </cell>
          <cell r="AR137" t="str">
            <v>Sindicalizado</v>
          </cell>
        </row>
        <row r="138">
          <cell r="A138" t="str">
            <v>171399</v>
          </cell>
          <cell r="B138" t="str">
            <v>COBOS MONTOYA FERNANDO</v>
          </cell>
          <cell r="C138" t="str">
            <v>AYUDANTE GENERAL</v>
          </cell>
          <cell r="D138" t="str">
            <v>PLANEACION Y LOGISTICA</v>
          </cell>
          <cell r="E138" t="str">
            <v>AV01020704 HISENSE OVERFLOW</v>
          </cell>
          <cell r="F138" t="str">
            <v>17/01/2024</v>
          </cell>
          <cell r="G138" t="str">
            <v>23/01/2024</v>
          </cell>
          <cell r="H138" t="str">
            <v>BAJA</v>
          </cell>
          <cell r="I138" t="str">
            <v>ABANDONO DE EMPLEO</v>
          </cell>
          <cell r="J138">
            <v>248.93</v>
          </cell>
          <cell r="K138">
            <v>261.17</v>
          </cell>
          <cell r="L138" t="str">
            <v>SEM17</v>
          </cell>
          <cell r="M138" t="str">
            <v>17 SINDICALIZADO - MEX HISENSE</v>
          </cell>
          <cell r="N138" t="str">
            <v>22/05/1987</v>
          </cell>
          <cell r="O138" t="str">
            <v>COMF870522SX9</v>
          </cell>
          <cell r="P138" t="str">
            <v>COMF870522HDFBNR08</v>
          </cell>
          <cell r="Q138" t="str">
            <v>94058753735</v>
          </cell>
          <cell r="R138" t="str">
            <v>BOSQUE DE FRESNO</v>
          </cell>
          <cell r="S138" t="str">
            <v>8</v>
          </cell>
          <cell r="T138"/>
          <cell r="U138" t="str">
            <v>BOSQUES DEL VALLE</v>
          </cell>
          <cell r="V138"/>
          <cell r="W138" t="str">
            <v>MEXICO</v>
          </cell>
          <cell r="X138">
            <v>55717</v>
          </cell>
          <cell r="Y138" t="str">
            <v>5540759407</v>
          </cell>
          <cell r="Z138"/>
          <cell r="AA138" t="str">
            <v>H</v>
          </cell>
          <cell r="AB138" t="str">
            <v>56883302825</v>
          </cell>
          <cell r="AC138" t="str">
            <v>PERMANENTE</v>
          </cell>
          <cell r="AD138" t="str">
            <v>DISTRITO FEDERAL</v>
          </cell>
          <cell r="AE138" t="str">
            <v>SOLTERO(A)</v>
          </cell>
          <cell r="AF138" t="str">
            <v>BACHILLERATO</v>
          </cell>
          <cell r="AG138" t="str">
            <v>(OMISION)</v>
          </cell>
          <cell r="AH138"/>
          <cell r="AI138"/>
          <cell r="AJ138" t="str">
            <v>fernando.cobos2287@gmail.com</v>
          </cell>
          <cell r="AK138" t="str">
            <v>COSTO VARIABLE</v>
          </cell>
          <cell r="AL138" t="str">
            <v>AVIOR CAL</v>
          </cell>
          <cell r="AM138" t="str">
            <v>AV17 HISENSE EDOMX</v>
          </cell>
          <cell r="AN138"/>
          <cell r="AO138"/>
          <cell r="AP138" t="str">
            <v>10081186</v>
          </cell>
          <cell r="AR138" t="str">
            <v>Sindicalizado</v>
          </cell>
        </row>
        <row r="139">
          <cell r="A139" t="str">
            <v>171400</v>
          </cell>
          <cell r="B139" t="str">
            <v>ESTRADA GONZALEZ MARGARITA</v>
          </cell>
          <cell r="C139" t="str">
            <v>ENFERMERO</v>
          </cell>
          <cell r="D139" t="str">
            <v>SALUD OCUPACIONAL</v>
          </cell>
          <cell r="E139" t="str">
            <v>AV01020791 HISENSE CAPITAL HUMANO</v>
          </cell>
          <cell r="F139" t="str">
            <v>17/01/2024</v>
          </cell>
          <cell r="G139"/>
          <cell r="H139" t="str">
            <v>ALTA</v>
          </cell>
          <cell r="I139" t="str">
            <v>CONTRATACION</v>
          </cell>
          <cell r="J139">
            <v>383.33</v>
          </cell>
          <cell r="K139">
            <v>402.18</v>
          </cell>
          <cell r="L139" t="str">
            <v>SEM17</v>
          </cell>
          <cell r="M139" t="str">
            <v>17 CONFIANZA - MEXICO HISENSE</v>
          </cell>
          <cell r="N139" t="str">
            <v>10/07/2001</v>
          </cell>
          <cell r="O139" t="str">
            <v>EAGM010710LK2</v>
          </cell>
          <cell r="P139" t="str">
            <v>EAGM010710MMCSNRA9</v>
          </cell>
          <cell r="Q139" t="str">
            <v>04170131512</v>
          </cell>
          <cell r="R139" t="str">
            <v>C MONTE EVEREST MZA 440 LT 33</v>
          </cell>
          <cell r="S139"/>
          <cell r="T139"/>
          <cell r="U139" t="str">
            <v>FRACC JARDINES DE MORELOS</v>
          </cell>
          <cell r="V139"/>
          <cell r="W139" t="str">
            <v>MEXICO</v>
          </cell>
          <cell r="X139">
            <v>55070</v>
          </cell>
          <cell r="Y139" t="str">
            <v>5518424624</v>
          </cell>
          <cell r="Z139"/>
          <cell r="AA139" t="str">
            <v>M</v>
          </cell>
          <cell r="AB139" t="str">
            <v>56883209982</v>
          </cell>
          <cell r="AC139" t="str">
            <v>PERMANENTE</v>
          </cell>
          <cell r="AD139" t="str">
            <v>MEXICO</v>
          </cell>
          <cell r="AE139" t="str">
            <v>SOLTERO(A)</v>
          </cell>
          <cell r="AF139" t="str">
            <v>CARRERA TECNICA</v>
          </cell>
          <cell r="AG139" t="str">
            <v>(OMISION)</v>
          </cell>
          <cell r="AH139"/>
          <cell r="AI139"/>
          <cell r="AJ139" t="str">
            <v>estrada100701@gmail.com</v>
          </cell>
          <cell r="AK139" t="str">
            <v>COSTO VARIABLE</v>
          </cell>
          <cell r="AL139" t="str">
            <v>AVIOR CAL</v>
          </cell>
          <cell r="AM139" t="str">
            <v>AV17 HISENSE EDOMX</v>
          </cell>
          <cell r="AN139"/>
          <cell r="AO139"/>
          <cell r="AP139" t="str">
            <v>10081178</v>
          </cell>
          <cell r="AR139" t="str">
            <v>Aministrativo</v>
          </cell>
        </row>
        <row r="140">
          <cell r="A140" t="str">
            <v>171401</v>
          </cell>
          <cell r="B140" t="str">
            <v>GUTIERREZ MEDINA DANIEL MIGUEL</v>
          </cell>
          <cell r="C140" t="str">
            <v>AUXILIAR DE LOGISTICA</v>
          </cell>
          <cell r="D140" t="str">
            <v>PLANEACION Y LOGISTICA</v>
          </cell>
          <cell r="E140" t="str">
            <v>AV01020702 HISENSE SERVICIOS ADICIONALES</v>
          </cell>
          <cell r="F140" t="str">
            <v>17/01/2024</v>
          </cell>
          <cell r="G140"/>
          <cell r="H140" t="str">
            <v>REINGRESO</v>
          </cell>
          <cell r="I140" t="str">
            <v>RECONTRATACION</v>
          </cell>
          <cell r="J140">
            <v>304.93</v>
          </cell>
          <cell r="K140">
            <v>319.93</v>
          </cell>
          <cell r="L140" t="str">
            <v>SEM17</v>
          </cell>
          <cell r="M140" t="str">
            <v>17 CONFIANZA - MEXICO HISENSE</v>
          </cell>
          <cell r="N140" t="str">
            <v>28/11/1988</v>
          </cell>
          <cell r="O140" t="str">
            <v>GUMD881128E70</v>
          </cell>
          <cell r="P140" t="str">
            <v>GUMD881128HDFTDN09</v>
          </cell>
          <cell r="Q140" t="str">
            <v>94078831289</v>
          </cell>
          <cell r="R140" t="str">
            <v>AND CEDROS MZ 5 LT 21 D 202</v>
          </cell>
          <cell r="S140"/>
          <cell r="T140"/>
          <cell r="U140" t="str">
            <v>U HAB ISIDRO FABELA</v>
          </cell>
          <cell r="V140"/>
          <cell r="W140" t="str">
            <v>MEXICO</v>
          </cell>
          <cell r="X140">
            <v>54932</v>
          </cell>
          <cell r="Y140" t="str">
            <v>5631048391</v>
          </cell>
          <cell r="Z140"/>
          <cell r="AA140" t="str">
            <v>H</v>
          </cell>
          <cell r="AB140" t="str">
            <v>56883283426</v>
          </cell>
          <cell r="AC140" t="str">
            <v>PERMANENTE</v>
          </cell>
          <cell r="AD140" t="str">
            <v>MEXICO</v>
          </cell>
          <cell r="AE140" t="str">
            <v>UNION LIBRE</v>
          </cell>
          <cell r="AF140" t="str">
            <v>BACHILLERATO</v>
          </cell>
          <cell r="AG140" t="str">
            <v>(OMISION)</v>
          </cell>
          <cell r="AH140"/>
          <cell r="AI140"/>
          <cell r="AJ140" t="str">
            <v>dm_gutierrez_medina@hotmail.com</v>
          </cell>
          <cell r="AK140" t="str">
            <v>COSTO VARIABLE</v>
          </cell>
          <cell r="AL140" t="str">
            <v>AVIOR CAL</v>
          </cell>
          <cell r="AM140" t="str">
            <v>AV17 HISENSE EDOMX</v>
          </cell>
          <cell r="AN140"/>
          <cell r="AO140"/>
          <cell r="AP140" t="str">
            <v>10081192</v>
          </cell>
          <cell r="AR140" t="str">
            <v>Aministrativo</v>
          </cell>
        </row>
        <row r="141">
          <cell r="A141" t="str">
            <v>171402</v>
          </cell>
          <cell r="B141" t="str">
            <v>OLVERA MARTINEZ NUZET YAEL</v>
          </cell>
          <cell r="C141" t="str">
            <v>AYUDANTE GENERAL</v>
          </cell>
          <cell r="D141" t="str">
            <v>PLANEACION Y LOGISTICA</v>
          </cell>
          <cell r="E141" t="str">
            <v>AV01020701 HISENSE CUOTA ADMINISTRATIVA</v>
          </cell>
          <cell r="F141" t="str">
            <v>17/01/2024</v>
          </cell>
          <cell r="G141"/>
          <cell r="H141" t="str">
            <v>ALTA</v>
          </cell>
          <cell r="I141" t="str">
            <v>CONTRATACION</v>
          </cell>
          <cell r="J141">
            <v>248.93</v>
          </cell>
          <cell r="K141">
            <v>261.17</v>
          </cell>
          <cell r="L141" t="str">
            <v>SEM17</v>
          </cell>
          <cell r="M141" t="str">
            <v>17 SINDICALIZADO - MEX HISENSE</v>
          </cell>
          <cell r="N141" t="str">
            <v>03/03/1997</v>
          </cell>
          <cell r="O141" t="str">
            <v>OEMN970303656</v>
          </cell>
          <cell r="P141" t="str">
            <v>OEMN970303HMCLRZ01</v>
          </cell>
          <cell r="Q141" t="str">
            <v>04169709484</v>
          </cell>
          <cell r="R141" t="str">
            <v>cda maple</v>
          </cell>
          <cell r="S141" t="str">
            <v>mz 16 lt 3 cond 3</v>
          </cell>
          <cell r="T141"/>
          <cell r="U141" t="str">
            <v>El laurel</v>
          </cell>
          <cell r="V141"/>
          <cell r="W141" t="str">
            <v>MEXICO</v>
          </cell>
          <cell r="X141">
            <v>55717</v>
          </cell>
          <cell r="Y141" t="str">
            <v>5548924009</v>
          </cell>
          <cell r="Z141"/>
          <cell r="AA141" t="str">
            <v>H</v>
          </cell>
          <cell r="AB141" t="str">
            <v>56883284969</v>
          </cell>
          <cell r="AC141" t="str">
            <v>PERMANENTE</v>
          </cell>
          <cell r="AD141" t="str">
            <v>QUERETARO</v>
          </cell>
          <cell r="AE141" t="str">
            <v>SOLTERO(A)</v>
          </cell>
          <cell r="AF141" t="str">
            <v>BACHILLERATO</v>
          </cell>
          <cell r="AG141" t="str">
            <v>(OMISION)</v>
          </cell>
          <cell r="AH141"/>
          <cell r="AI141"/>
          <cell r="AJ141" t="str">
            <v>nuzet.nirvana@gmail.com</v>
          </cell>
          <cell r="AK141" t="str">
            <v>COSTO VARIABLE</v>
          </cell>
          <cell r="AL141" t="str">
            <v>AVIOR CAL</v>
          </cell>
          <cell r="AM141" t="str">
            <v>AV17 HISENSE EDOMX</v>
          </cell>
          <cell r="AN141"/>
          <cell r="AO141"/>
          <cell r="AP141" t="str">
            <v>10081179</v>
          </cell>
          <cell r="AR141" t="str">
            <v>Sindicalizado</v>
          </cell>
        </row>
        <row r="142">
          <cell r="A142" t="str">
            <v>171403</v>
          </cell>
          <cell r="B142" t="str">
            <v>RINCON RAMIREZ JORGE BENJAMIN</v>
          </cell>
          <cell r="C142" t="str">
            <v>AYUDANTE GENERAL</v>
          </cell>
          <cell r="D142" t="str">
            <v>PLANEACION Y LOGISTICA</v>
          </cell>
          <cell r="E142" t="str">
            <v>AV01020704 HISENSE OVERFLOW</v>
          </cell>
          <cell r="F142" t="str">
            <v>17/01/2024</v>
          </cell>
          <cell r="G142" t="str">
            <v>23/01/2024</v>
          </cell>
          <cell r="H142" t="str">
            <v>BAJA</v>
          </cell>
          <cell r="I142" t="str">
            <v>ABANDONO DE EMPLEO</v>
          </cell>
          <cell r="J142">
            <v>248.93</v>
          </cell>
          <cell r="K142">
            <v>261.17</v>
          </cell>
          <cell r="L142" t="str">
            <v>SEM17</v>
          </cell>
          <cell r="M142" t="str">
            <v>17 SINDICALIZADO - MEX HISENSE</v>
          </cell>
          <cell r="N142" t="str">
            <v>07/05/2002</v>
          </cell>
          <cell r="O142" t="str">
            <v>RIRJ0205079T4</v>
          </cell>
          <cell r="P142" t="str">
            <v>RIRJ020507HMCNMRA4</v>
          </cell>
          <cell r="Q142" t="str">
            <v>70170224995</v>
          </cell>
          <cell r="R142" t="str">
            <v>NAYARIT MZ 39 LT 7A</v>
          </cell>
          <cell r="S142"/>
          <cell r="T142"/>
          <cell r="U142" t="str">
            <v>REPUBLICA MEXICANA</v>
          </cell>
          <cell r="V142"/>
          <cell r="W142" t="str">
            <v>MEXICO</v>
          </cell>
          <cell r="X142">
            <v>55705</v>
          </cell>
          <cell r="Y142" t="str">
            <v>5620381473</v>
          </cell>
          <cell r="Z142"/>
          <cell r="AA142" t="str">
            <v>H</v>
          </cell>
          <cell r="AB142" t="str">
            <v>56883162235</v>
          </cell>
          <cell r="AC142" t="str">
            <v>PERMANENTE</v>
          </cell>
          <cell r="AD142" t="str">
            <v>MEXICO</v>
          </cell>
          <cell r="AE142" t="str">
            <v>SOLTERO(A)</v>
          </cell>
          <cell r="AF142" t="str">
            <v>BACHILLERATO</v>
          </cell>
          <cell r="AG142" t="str">
            <v>(OMISION)</v>
          </cell>
          <cell r="AH142"/>
          <cell r="AI142"/>
          <cell r="AJ142" t="str">
            <v>produjbr@gmail.com</v>
          </cell>
          <cell r="AK142" t="str">
            <v>COSTO VARIABLE</v>
          </cell>
          <cell r="AL142" t="str">
            <v>AVIOR CAL</v>
          </cell>
          <cell r="AM142" t="str">
            <v>AV17 HISENSE EDOMX</v>
          </cell>
          <cell r="AN142"/>
          <cell r="AO142"/>
          <cell r="AP142" t="str">
            <v>10081112</v>
          </cell>
          <cell r="AR142" t="str">
            <v>Sindicalizado</v>
          </cell>
        </row>
        <row r="143">
          <cell r="A143" t="str">
            <v>171404</v>
          </cell>
          <cell r="B143" t="str">
            <v>MILLAN SANCHEZ FABIAN</v>
          </cell>
          <cell r="C143" t="str">
            <v>AYUDANTE GENERAL</v>
          </cell>
          <cell r="D143" t="str">
            <v>PLANEACION Y LOGISTICA</v>
          </cell>
          <cell r="E143" t="str">
            <v>AV01020701 HISENSE CUOTA ADMINISTRATIVA</v>
          </cell>
          <cell r="F143" t="str">
            <v>18/01/2024</v>
          </cell>
          <cell r="G143" t="str">
            <v>02/02/2024</v>
          </cell>
          <cell r="H143" t="str">
            <v>BAJA</v>
          </cell>
          <cell r="I143" t="str">
            <v>ABANDONO DE EMPLEO</v>
          </cell>
          <cell r="J143">
            <v>248.93</v>
          </cell>
          <cell r="K143">
            <v>261.17</v>
          </cell>
          <cell r="L143" t="str">
            <v>SEM17</v>
          </cell>
          <cell r="M143" t="str">
            <v>17 SINDICALIZADO - MEX HISENSE</v>
          </cell>
          <cell r="N143" t="str">
            <v>17/06/2001</v>
          </cell>
          <cell r="O143" t="str">
            <v>MISF010617M83</v>
          </cell>
          <cell r="P143" t="str">
            <v>MISF010617HMCLNBA5</v>
          </cell>
          <cell r="Q143" t="str">
            <v>38170175962</v>
          </cell>
          <cell r="R143" t="str">
            <v>C HACIENDA CARBONERA COND 4 CS</v>
          </cell>
          <cell r="S143"/>
          <cell r="T143"/>
          <cell r="U143" t="str">
            <v>FRACC RANCHO LA PALMA</v>
          </cell>
          <cell r="V143"/>
          <cell r="W143" t="str">
            <v>MEXICO</v>
          </cell>
          <cell r="X143">
            <v>55717</v>
          </cell>
          <cell r="Y143" t="str">
            <v>5632540512</v>
          </cell>
          <cell r="Z143"/>
          <cell r="AA143" t="str">
            <v>H</v>
          </cell>
          <cell r="AB143" t="str">
            <v>56847580970</v>
          </cell>
          <cell r="AC143" t="str">
            <v>PERMANENTE</v>
          </cell>
          <cell r="AD143" t="str">
            <v>MEXICO</v>
          </cell>
          <cell r="AE143" t="str">
            <v>SOLTERO(A)</v>
          </cell>
          <cell r="AF143" t="str">
            <v>BACHILLERATO</v>
          </cell>
          <cell r="AG143" t="str">
            <v>(OMISION)</v>
          </cell>
          <cell r="AH143"/>
          <cell r="AI143"/>
          <cell r="AJ143" t="str">
            <v>buzz_chico@hotmail.com</v>
          </cell>
          <cell r="AK143" t="str">
            <v>COSTO VARIABLE</v>
          </cell>
          <cell r="AL143" t="str">
            <v>AVIOR CAL</v>
          </cell>
          <cell r="AM143" t="str">
            <v>AV17 HISENSE EDOMX</v>
          </cell>
          <cell r="AN143"/>
          <cell r="AO143"/>
          <cell r="AP143" t="str">
            <v>10081241</v>
          </cell>
          <cell r="AR143" t="str">
            <v>Sindicalizado</v>
          </cell>
        </row>
        <row r="144">
          <cell r="A144" t="str">
            <v>171405</v>
          </cell>
          <cell r="B144" t="str">
            <v>RIVERA GARCIA LIDIER</v>
          </cell>
          <cell r="C144" t="str">
            <v>AYUDANTE GENERAL</v>
          </cell>
          <cell r="D144" t="str">
            <v>PLANEACION Y LOGISTICA</v>
          </cell>
          <cell r="E144" t="str">
            <v>AV01020704 HISENSE OVERFLOW</v>
          </cell>
          <cell r="F144" t="str">
            <v>18/01/2024</v>
          </cell>
          <cell r="G144" t="str">
            <v>23/01/2024</v>
          </cell>
          <cell r="H144" t="str">
            <v>BAJA</v>
          </cell>
          <cell r="I144" t="str">
            <v>ABANDONO DE EMPLEO</v>
          </cell>
          <cell r="J144">
            <v>248.93</v>
          </cell>
          <cell r="K144">
            <v>261.17</v>
          </cell>
          <cell r="L144" t="str">
            <v>SEM17</v>
          </cell>
          <cell r="M144" t="str">
            <v>17 SINDICALIZADO - MEX HISENSE</v>
          </cell>
          <cell r="N144" t="str">
            <v>13/10/1993</v>
          </cell>
          <cell r="O144" t="str">
            <v>RIGL931013KF3</v>
          </cell>
          <cell r="P144" t="str">
            <v>RIGL931013HMCVRD02</v>
          </cell>
          <cell r="Q144" t="str">
            <v>92109321601</v>
          </cell>
          <cell r="R144" t="str">
            <v>C FUENTE DE ADAN 125 A</v>
          </cell>
          <cell r="S144"/>
          <cell r="T144"/>
          <cell r="U144" t="str">
            <v>FRACC FUENTES DEL VALLE</v>
          </cell>
          <cell r="V144"/>
          <cell r="W144" t="str">
            <v>MEXICO</v>
          </cell>
          <cell r="X144">
            <v>54910</v>
          </cell>
          <cell r="Y144" t="str">
            <v>7298370429</v>
          </cell>
          <cell r="Z144"/>
          <cell r="AA144" t="str">
            <v>H</v>
          </cell>
          <cell r="AB144" t="str">
            <v>56883218861</v>
          </cell>
          <cell r="AC144" t="str">
            <v>PERMANENTE</v>
          </cell>
          <cell r="AD144" t="str">
            <v>MEXICO</v>
          </cell>
          <cell r="AE144" t="str">
            <v>UNION LIBRE</v>
          </cell>
          <cell r="AF144" t="str">
            <v>SECUNDARIA</v>
          </cell>
          <cell r="AG144" t="str">
            <v>(OMISION)</v>
          </cell>
          <cell r="AH144"/>
          <cell r="AI144"/>
          <cell r="AJ144" t="str">
            <v>lirivera931013@gmail.com</v>
          </cell>
          <cell r="AK144" t="str">
            <v>COSTO VARIABLE</v>
          </cell>
          <cell r="AL144" t="str">
            <v>AVIOR CAL</v>
          </cell>
          <cell r="AM144" t="str">
            <v>AV17 HISENSE EDOMX</v>
          </cell>
          <cell r="AN144"/>
          <cell r="AO144"/>
          <cell r="AP144" t="str">
            <v>10081229</v>
          </cell>
          <cell r="AR144" t="str">
            <v>Sindicalizado</v>
          </cell>
        </row>
        <row r="145">
          <cell r="A145" t="str">
            <v>171406</v>
          </cell>
          <cell r="B145" t="str">
            <v>TERRES ALCANTARA LUIS ADRIAN</v>
          </cell>
          <cell r="C145" t="str">
            <v>MONTACARGUISTA</v>
          </cell>
          <cell r="D145" t="str">
            <v>PLANEACION Y LOGISTICA</v>
          </cell>
          <cell r="E145" t="str">
            <v>AV01020701 HISENSE CUOTA ADMINISTRATIVA</v>
          </cell>
          <cell r="F145" t="str">
            <v>18/01/2024</v>
          </cell>
          <cell r="G145"/>
          <cell r="H145" t="str">
            <v>ALTA</v>
          </cell>
          <cell r="I145" t="str">
            <v>CONTRATACION</v>
          </cell>
          <cell r="J145">
            <v>313.12</v>
          </cell>
          <cell r="K145">
            <v>328.52</v>
          </cell>
          <cell r="L145" t="str">
            <v>SEM17</v>
          </cell>
          <cell r="M145" t="str">
            <v>17 SINDICALIZADO - MEX HISENSE</v>
          </cell>
          <cell r="N145" t="str">
            <v>23/06/1989</v>
          </cell>
          <cell r="O145" t="str">
            <v>TEAL8906238U0</v>
          </cell>
          <cell r="P145" t="str">
            <v>TEAL890623HMCRLS10</v>
          </cell>
          <cell r="Q145" t="str">
            <v>92078967103</v>
          </cell>
          <cell r="R145" t="str">
            <v xml:space="preserve">C BOSQUE DE CAMELIAS MZA 3 LT </v>
          </cell>
          <cell r="S145"/>
          <cell r="T145"/>
          <cell r="U145" t="str">
            <v>FRACC BOSQUES DEL VALLE</v>
          </cell>
          <cell r="V145"/>
          <cell r="W145" t="str">
            <v>MEXICO</v>
          </cell>
          <cell r="X145">
            <v>55717</v>
          </cell>
          <cell r="Y145" t="str">
            <v>5564476443</v>
          </cell>
          <cell r="Z145"/>
          <cell r="AA145" t="str">
            <v>H</v>
          </cell>
          <cell r="AB145" t="str">
            <v>56883461492</v>
          </cell>
          <cell r="AC145" t="str">
            <v>PERMANENTE</v>
          </cell>
          <cell r="AD145" t="str">
            <v>MEXICO</v>
          </cell>
          <cell r="AE145" t="str">
            <v>SOLTERO(A)</v>
          </cell>
          <cell r="AF145" t="str">
            <v>BACHILLERATO</v>
          </cell>
          <cell r="AG145" t="str">
            <v>(OMISION)</v>
          </cell>
          <cell r="AH145"/>
          <cell r="AI145"/>
          <cell r="AJ145" t="str">
            <v>luisadrianterresalcantanra@gmail.com</v>
          </cell>
          <cell r="AK145" t="str">
            <v>COSTO VARIABLE</v>
          </cell>
          <cell r="AL145" t="str">
            <v>AVIOR CAL</v>
          </cell>
          <cell r="AM145" t="str">
            <v>AV17 HISENSE EDOMX</v>
          </cell>
          <cell r="AN145"/>
          <cell r="AO145"/>
          <cell r="AP145" t="str">
            <v>10081222</v>
          </cell>
          <cell r="AR145" t="str">
            <v>Sindicalizado</v>
          </cell>
        </row>
        <row r="146">
          <cell r="A146" t="str">
            <v>171407</v>
          </cell>
          <cell r="B146" t="str">
            <v>BERNARDO GOMEZ RODRIGO ROBERTO</v>
          </cell>
          <cell r="C146" t="str">
            <v>AYUDANTE GENERAL</v>
          </cell>
          <cell r="D146" t="str">
            <v>PLANEACION Y LOGISTICA</v>
          </cell>
          <cell r="E146" t="str">
            <v>AV01020701 HISENSE CUOTA ADMINISTRATIVA</v>
          </cell>
          <cell r="F146" t="str">
            <v>19/01/2024</v>
          </cell>
          <cell r="G146"/>
          <cell r="H146" t="str">
            <v>ALTA</v>
          </cell>
          <cell r="I146" t="str">
            <v>CONTRATACION</v>
          </cell>
          <cell r="J146">
            <v>248.93</v>
          </cell>
          <cell r="K146">
            <v>261.17</v>
          </cell>
          <cell r="L146" t="str">
            <v>SEM17</v>
          </cell>
          <cell r="M146" t="str">
            <v>17 SINDICALIZADO - MEX HISENSE</v>
          </cell>
          <cell r="N146" t="str">
            <v>31/08/2005</v>
          </cell>
          <cell r="O146" t="str">
            <v>BEGR050831CA5</v>
          </cell>
          <cell r="P146" t="str">
            <v>BEGR050831HDFRMDA2</v>
          </cell>
          <cell r="Q146" t="str">
            <v>73200578521</v>
          </cell>
          <cell r="R146" t="str">
            <v>MZ 38 LT 15 CS 23</v>
          </cell>
          <cell r="S146"/>
          <cell r="T146"/>
          <cell r="U146" t="str">
            <v>FRACC LOS HEROES COACALCO</v>
          </cell>
          <cell r="V146"/>
          <cell r="W146" t="str">
            <v>MEXICO</v>
          </cell>
          <cell r="X146">
            <v>55712</v>
          </cell>
          <cell r="Y146" t="str">
            <v>5544825914</v>
          </cell>
          <cell r="Z146"/>
          <cell r="AA146" t="str">
            <v>H</v>
          </cell>
          <cell r="AB146" t="str">
            <v>56883624115</v>
          </cell>
          <cell r="AC146" t="str">
            <v>PERMANENTE</v>
          </cell>
          <cell r="AD146" t="str">
            <v>MEXICO</v>
          </cell>
          <cell r="AE146" t="str">
            <v>SOLTERO(A)</v>
          </cell>
          <cell r="AF146" t="str">
            <v>SECUNDARIA</v>
          </cell>
          <cell r="AG146" t="str">
            <v>(OMISION)</v>
          </cell>
          <cell r="AH146"/>
          <cell r="AI146"/>
          <cell r="AJ146" t="str">
            <v>rodrigorobertobernardogomez@gmail.com</v>
          </cell>
          <cell r="AK146" t="str">
            <v>COSTO VARIABLE</v>
          </cell>
          <cell r="AL146" t="str">
            <v>AVIOR CAL</v>
          </cell>
          <cell r="AM146" t="str">
            <v>AV17 HISENSE EDOMX</v>
          </cell>
          <cell r="AN146"/>
          <cell r="AO146"/>
          <cell r="AP146" t="str">
            <v>10081291</v>
          </cell>
          <cell r="AR146" t="str">
            <v>Sindicalizado</v>
          </cell>
        </row>
        <row r="147">
          <cell r="A147" t="str">
            <v>171408</v>
          </cell>
          <cell r="B147" t="str">
            <v>PORTILLO OCHOA ANTONIO</v>
          </cell>
          <cell r="C147" t="str">
            <v>AYUDANTE GENERAL</v>
          </cell>
          <cell r="D147" t="str">
            <v>PLANEACION Y LOGISTICA</v>
          </cell>
          <cell r="E147" t="str">
            <v>AV01020701 HISENSE CUOTA ADMINISTRATIVA</v>
          </cell>
          <cell r="F147" t="str">
            <v>19/01/2024</v>
          </cell>
          <cell r="G147" t="str">
            <v>25/01/2024</v>
          </cell>
          <cell r="H147" t="str">
            <v>BAJA</v>
          </cell>
          <cell r="I147" t="str">
            <v>ABANDONO DE EMPLEO</v>
          </cell>
          <cell r="J147">
            <v>248.93</v>
          </cell>
          <cell r="K147">
            <v>261.17</v>
          </cell>
          <cell r="L147" t="str">
            <v>SEM17</v>
          </cell>
          <cell r="M147" t="str">
            <v>17 SINDICALIZADO - MEX HISENSE</v>
          </cell>
          <cell r="N147" t="str">
            <v>07/10/1965</v>
          </cell>
          <cell r="O147" t="str">
            <v>POOA651007B29</v>
          </cell>
          <cell r="P147" t="str">
            <v>POOA651007HDFRCN09</v>
          </cell>
          <cell r="Q147" t="str">
            <v>92026501897</v>
          </cell>
          <cell r="R147" t="str">
            <v>CDA BENITO JUAREZ S/N</v>
          </cell>
          <cell r="S147"/>
          <cell r="T147"/>
          <cell r="U147" t="str">
            <v>PBLO SANTIAGO TEYAHUALCO</v>
          </cell>
          <cell r="V147"/>
          <cell r="W147" t="str">
            <v>MEXICO</v>
          </cell>
          <cell r="X147">
            <v>54980</v>
          </cell>
          <cell r="Y147" t="str">
            <v>5562066309</v>
          </cell>
          <cell r="Z147"/>
          <cell r="AA147" t="str">
            <v>H</v>
          </cell>
          <cell r="AB147" t="str">
            <v>56883638113</v>
          </cell>
          <cell r="AC147" t="str">
            <v>PERMANENTE</v>
          </cell>
          <cell r="AD147" t="str">
            <v>DISTRITO FEDERAL</v>
          </cell>
          <cell r="AE147" t="str">
            <v>CASADO(A)</v>
          </cell>
          <cell r="AF147" t="str">
            <v>PRIMARIA</v>
          </cell>
          <cell r="AG147" t="str">
            <v>(OMISION)</v>
          </cell>
          <cell r="AH147"/>
          <cell r="AI147"/>
          <cell r="AJ147" t="str">
            <v>antonioochoa421@gmail.com</v>
          </cell>
          <cell r="AK147" t="str">
            <v>COSTO VARIABLE</v>
          </cell>
          <cell r="AL147" t="str">
            <v>AVIOR CAL</v>
          </cell>
          <cell r="AM147" t="str">
            <v>AV17 HISENSE EDOMX</v>
          </cell>
          <cell r="AN147"/>
          <cell r="AO147"/>
          <cell r="AP147" t="str">
            <v>10081297</v>
          </cell>
          <cell r="AR147" t="str">
            <v>Sindicalizado</v>
          </cell>
        </row>
        <row r="148">
          <cell r="A148" t="str">
            <v>171409</v>
          </cell>
          <cell r="B148" t="str">
            <v>ACOSTA AMEZCUA OMAR JORGE</v>
          </cell>
          <cell r="C148" t="str">
            <v>ANALISTA DE OPERACIONES</v>
          </cell>
          <cell r="D148" t="str">
            <v>OPERACIONES</v>
          </cell>
          <cell r="E148" t="str">
            <v>AV01020702 HISENSE SERVICIOS ADICIONALES</v>
          </cell>
          <cell r="F148" t="str">
            <v>23/01/2024</v>
          </cell>
          <cell r="G148" t="str">
            <v>25/01/2024</v>
          </cell>
          <cell r="H148" t="str">
            <v>BAJA</v>
          </cell>
          <cell r="I148" t="str">
            <v>ABANDONO DE EMPLEO</v>
          </cell>
          <cell r="J148">
            <v>304.95</v>
          </cell>
          <cell r="K148">
            <v>319.95</v>
          </cell>
          <cell r="L148" t="str">
            <v>SEM17</v>
          </cell>
          <cell r="M148" t="str">
            <v>17 CONFIANZA - MEXICO HISENSE</v>
          </cell>
          <cell r="N148" t="str">
            <v>16/11/1987</v>
          </cell>
          <cell r="O148" t="str">
            <v>AOAO871116I68</v>
          </cell>
          <cell r="P148" t="str">
            <v>AOAO871116HMCCMM04</v>
          </cell>
          <cell r="Q148" t="str">
            <v>92058770071</v>
          </cell>
          <cell r="R148" t="str">
            <v>JOROBAS MZ 7 LT 4 B</v>
          </cell>
          <cell r="S148" t="str">
            <v>S/N</v>
          </cell>
          <cell r="T148"/>
          <cell r="U148" t="str">
            <v>FRACC REAL HUEHUETOCA</v>
          </cell>
          <cell r="V148"/>
          <cell r="W148" t="str">
            <v>MEXICO</v>
          </cell>
          <cell r="X148">
            <v>54680</v>
          </cell>
          <cell r="Y148" t="str">
            <v>5587090139</v>
          </cell>
          <cell r="Z148"/>
          <cell r="AA148" t="str">
            <v>H</v>
          </cell>
          <cell r="AB148" t="str">
            <v>56805174013</v>
          </cell>
          <cell r="AC148" t="str">
            <v>PERMANENTE</v>
          </cell>
          <cell r="AD148" t="str">
            <v>MEXICO</v>
          </cell>
          <cell r="AE148" t="str">
            <v>SOLTERO(A)</v>
          </cell>
          <cell r="AF148" t="str">
            <v>PROFESIONAL</v>
          </cell>
          <cell r="AG148" t="str">
            <v>(OMISION)</v>
          </cell>
          <cell r="AH148"/>
          <cell r="AI148"/>
          <cell r="AJ148" t="str">
            <v>omar.acostaamezcua@outlook.com</v>
          </cell>
          <cell r="AK148" t="str">
            <v>COSTO VARIABLE</v>
          </cell>
          <cell r="AL148" t="str">
            <v>AVIOR CAL</v>
          </cell>
          <cell r="AM148" t="str">
            <v>AV17 HISENSE EDOMX</v>
          </cell>
          <cell r="AN148"/>
          <cell r="AO148"/>
          <cell r="AP148" t="str">
            <v>10081406</v>
          </cell>
          <cell r="AR148" t="str">
            <v>Aministrativo</v>
          </cell>
        </row>
        <row r="149">
          <cell r="A149" t="str">
            <v>171410</v>
          </cell>
          <cell r="B149" t="str">
            <v>PEREZ SANTOS OSCAR</v>
          </cell>
          <cell r="C149" t="str">
            <v>AYUDANTE GENERAL</v>
          </cell>
          <cell r="D149" t="str">
            <v>PLANEACION Y LOGISTICA</v>
          </cell>
          <cell r="E149" t="str">
            <v>AV01020701 HISENSE CUOTA ADMINISTRATIVA</v>
          </cell>
          <cell r="F149" t="str">
            <v>23/01/2024</v>
          </cell>
          <cell r="G149"/>
          <cell r="H149" t="str">
            <v>ALTA</v>
          </cell>
          <cell r="I149" t="str">
            <v>CONTRATACION</v>
          </cell>
          <cell r="J149">
            <v>248.93</v>
          </cell>
          <cell r="K149">
            <v>261.17</v>
          </cell>
          <cell r="L149" t="str">
            <v>SEM17</v>
          </cell>
          <cell r="M149" t="str">
            <v>17 SINDICALIZADO - MEX HISENSE</v>
          </cell>
          <cell r="N149" t="str">
            <v>07/05/1994</v>
          </cell>
          <cell r="O149" t="str">
            <v>PESO9405075V6</v>
          </cell>
          <cell r="P149" t="str">
            <v>PESO940507HVZRNS04</v>
          </cell>
          <cell r="Q149" t="str">
            <v>92109400371</v>
          </cell>
          <cell r="R149" t="str">
            <v>C SAUCE 6 EDIF C DEP 501</v>
          </cell>
          <cell r="S149"/>
          <cell r="T149"/>
          <cell r="U149" t="str">
            <v>U HAB TLAYAPA</v>
          </cell>
          <cell r="V149"/>
          <cell r="W149" t="str">
            <v>MEXICO</v>
          </cell>
          <cell r="X149">
            <v>54120</v>
          </cell>
          <cell r="Y149" t="str">
            <v>5544964996</v>
          </cell>
          <cell r="Z149"/>
          <cell r="AA149" t="str">
            <v>H</v>
          </cell>
          <cell r="AB149" t="str">
            <v>56883830986</v>
          </cell>
          <cell r="AC149" t="str">
            <v>PERMANENTE</v>
          </cell>
          <cell r="AD149" t="str">
            <v>VERACRUZ</v>
          </cell>
          <cell r="AE149" t="str">
            <v>UNION LIBRE</v>
          </cell>
          <cell r="AF149" t="str">
            <v>SECUNDARIA</v>
          </cell>
          <cell r="AG149" t="str">
            <v>(OMISION)</v>
          </cell>
          <cell r="AH149"/>
          <cell r="AI149"/>
          <cell r="AJ149" t="str">
            <v>tlalmanlc35s@gmail.com</v>
          </cell>
          <cell r="AK149" t="str">
            <v>COSTO VARIABLE</v>
          </cell>
          <cell r="AL149" t="str">
            <v>AVIOR CAL</v>
          </cell>
          <cell r="AM149" t="str">
            <v>AV17 HISENSE EDOMX</v>
          </cell>
          <cell r="AN149"/>
          <cell r="AO149"/>
          <cell r="AP149" t="str">
            <v>10081398</v>
          </cell>
          <cell r="AR149" t="str">
            <v>Sindicalizado</v>
          </cell>
        </row>
        <row r="150">
          <cell r="A150" t="str">
            <v>171411</v>
          </cell>
          <cell r="B150" t="str">
            <v>TORRES MEJIA DAVID EMMANUEL</v>
          </cell>
          <cell r="C150" t="str">
            <v>AYUDANTE GENERAL</v>
          </cell>
          <cell r="D150" t="str">
            <v>PLANEACION Y LOGISTICA</v>
          </cell>
          <cell r="E150" t="str">
            <v>AV01020701 HISENSE CUOTA ADMINISTRATIVA</v>
          </cell>
          <cell r="F150" t="str">
            <v>23/01/2024</v>
          </cell>
          <cell r="G150"/>
          <cell r="H150" t="str">
            <v>ALTA</v>
          </cell>
          <cell r="I150" t="str">
            <v>CONTRATACION</v>
          </cell>
          <cell r="J150">
            <v>248.93</v>
          </cell>
          <cell r="K150">
            <v>261.17</v>
          </cell>
          <cell r="L150" t="str">
            <v>SEM17</v>
          </cell>
          <cell r="M150" t="str">
            <v>17 SINDICALIZADO - MEX HISENSE</v>
          </cell>
          <cell r="N150" t="str">
            <v>08/03/1988</v>
          </cell>
          <cell r="O150" t="str">
            <v>TOMD880308448</v>
          </cell>
          <cell r="P150" t="str">
            <v>TOMD880308HMCRJV03</v>
          </cell>
          <cell r="Q150" t="str">
            <v>94078873679</v>
          </cell>
          <cell r="R150" t="str">
            <v>C PEDREGAL 29 MZ 64 LT 17</v>
          </cell>
          <cell r="S150"/>
          <cell r="T150"/>
          <cell r="U150" t="str">
            <v>FRACC IZCALLI SAN PABLO</v>
          </cell>
          <cell r="V150"/>
          <cell r="W150" t="str">
            <v>MEXICO</v>
          </cell>
          <cell r="X150">
            <v>54933</v>
          </cell>
          <cell r="Y150" t="str">
            <v>5587224409</v>
          </cell>
          <cell r="Z150"/>
          <cell r="AA150" t="str">
            <v>H</v>
          </cell>
          <cell r="AB150" t="str">
            <v>56854999912</v>
          </cell>
          <cell r="AC150" t="str">
            <v>PERMANENTE</v>
          </cell>
          <cell r="AD150" t="str">
            <v>MEXICO</v>
          </cell>
          <cell r="AE150" t="str">
            <v>SOLTERO(A)</v>
          </cell>
          <cell r="AF150" t="str">
            <v>BACHILLERATO</v>
          </cell>
          <cell r="AG150" t="str">
            <v>(OMISION)</v>
          </cell>
          <cell r="AH150"/>
          <cell r="AI150"/>
          <cell r="AJ150" t="str">
            <v>dtorres357m@gmail.com</v>
          </cell>
          <cell r="AK150" t="str">
            <v>COSTO VARIABLE</v>
          </cell>
          <cell r="AL150" t="str">
            <v>AVIOR CAL</v>
          </cell>
          <cell r="AM150" t="str">
            <v>AV17 HISENSE EDOMX</v>
          </cell>
          <cell r="AN150"/>
          <cell r="AO150"/>
          <cell r="AP150" t="str">
            <v>10081404</v>
          </cell>
          <cell r="AR150" t="str">
            <v>Sindicalizado</v>
          </cell>
        </row>
        <row r="151">
          <cell r="A151" t="str">
            <v>171412</v>
          </cell>
          <cell r="B151" t="str">
            <v>CRUZ SOTELO ANGEL ALFREDO</v>
          </cell>
          <cell r="C151" t="str">
            <v>AYUDANTE GENERAL</v>
          </cell>
          <cell r="D151" t="str">
            <v>PLANEACION Y LOGISTICA</v>
          </cell>
          <cell r="E151" t="str">
            <v>AV01020701 HISENSE CUOTA ADMINISTRATIVA</v>
          </cell>
          <cell r="F151" t="str">
            <v>25/01/2024</v>
          </cell>
          <cell r="G151" t="str">
            <v>25/01/2024</v>
          </cell>
          <cell r="H151" t="str">
            <v>BAJA</v>
          </cell>
          <cell r="I151" t="str">
            <v>ABANDONO DE EMPLEO</v>
          </cell>
          <cell r="J151">
            <v>248.93</v>
          </cell>
          <cell r="K151">
            <v>261.17</v>
          </cell>
          <cell r="L151" t="str">
            <v>SEM17</v>
          </cell>
          <cell r="M151" t="str">
            <v>17 SINDICALIZADO - MEX HISENSE</v>
          </cell>
          <cell r="N151" t="str">
            <v>02/12/1998</v>
          </cell>
          <cell r="O151" t="str">
            <v>CUSA9812023Y1</v>
          </cell>
          <cell r="P151" t="str">
            <v>CUSA981202HDFRTN05</v>
          </cell>
          <cell r="Q151" t="str">
            <v>74169893216</v>
          </cell>
          <cell r="R151" t="str">
            <v>C SOR JUANA INES DE LA CRUZ 11</v>
          </cell>
          <cell r="S151"/>
          <cell r="T151"/>
          <cell r="U151" t="str">
            <v>PBLO SAN LORENZO TETLIXTAC</v>
          </cell>
          <cell r="V151"/>
          <cell r="W151" t="str">
            <v>MEXICO</v>
          </cell>
          <cell r="X151">
            <v>55714</v>
          </cell>
          <cell r="Y151" t="str">
            <v>5620239698</v>
          </cell>
          <cell r="Z151"/>
          <cell r="AA151" t="str">
            <v>H</v>
          </cell>
          <cell r="AB151" t="str">
            <v>56884170151</v>
          </cell>
          <cell r="AC151" t="str">
            <v>PERMANENTE</v>
          </cell>
          <cell r="AD151" t="str">
            <v>DISTRITO FEDERAL</v>
          </cell>
          <cell r="AE151" t="str">
            <v>SOLTERO(A)</v>
          </cell>
          <cell r="AF151" t="str">
            <v>SECUNDARIA</v>
          </cell>
          <cell r="AG151" t="str">
            <v>(OMISION)</v>
          </cell>
          <cell r="AH151"/>
          <cell r="AI151"/>
          <cell r="AJ151" t="str">
            <v>ac15999@icloud.com</v>
          </cell>
          <cell r="AK151" t="str">
            <v>COSTO VARIABLE</v>
          </cell>
          <cell r="AL151" t="str">
            <v>AVIOR CAL</v>
          </cell>
          <cell r="AM151" t="str">
            <v>AV17 HISENSE EDOMX</v>
          </cell>
          <cell r="AN151"/>
          <cell r="AO151"/>
          <cell r="AP151" t="str">
            <v>10081491</v>
          </cell>
          <cell r="AR151" t="str">
            <v>Sindicalizado</v>
          </cell>
        </row>
        <row r="152">
          <cell r="A152" t="str">
            <v>171413</v>
          </cell>
          <cell r="B152" t="str">
            <v>GIRON FRIAS LUIS FELIPE</v>
          </cell>
          <cell r="C152" t="str">
            <v>AYUDANTE GENERAL</v>
          </cell>
          <cell r="D152" t="str">
            <v>PLANEACION Y LOGISTICA</v>
          </cell>
          <cell r="E152" t="str">
            <v>AV01020701 HISENSE CUOTA ADMINISTRATIVA</v>
          </cell>
          <cell r="F152" t="str">
            <v>25/01/2024</v>
          </cell>
          <cell r="G152"/>
          <cell r="H152" t="str">
            <v>ALTA</v>
          </cell>
          <cell r="I152" t="str">
            <v>CONTRATACION</v>
          </cell>
          <cell r="J152">
            <v>248.93</v>
          </cell>
          <cell r="K152">
            <v>261.17</v>
          </cell>
          <cell r="L152" t="str">
            <v>SEM17</v>
          </cell>
          <cell r="M152" t="str">
            <v>17 SINDICALIZADO - MEX HISENSE</v>
          </cell>
          <cell r="N152" t="str">
            <v>05/09/2000</v>
          </cell>
          <cell r="O152" t="str">
            <v>GIFL000905AV1</v>
          </cell>
          <cell r="P152" t="str">
            <v>GIFL000905HMCRRSA6</v>
          </cell>
          <cell r="Q152" t="str">
            <v>27180061767</v>
          </cell>
          <cell r="R152" t="str">
            <v>C CAMELIA MZ 101 LT 3</v>
          </cell>
          <cell r="S152"/>
          <cell r="T152"/>
          <cell r="U152" t="str">
            <v>COL EL TESORO</v>
          </cell>
          <cell r="V152"/>
          <cell r="W152" t="str">
            <v>MEXICO</v>
          </cell>
          <cell r="X152">
            <v>54957</v>
          </cell>
          <cell r="Y152" t="str">
            <v>5615163091</v>
          </cell>
          <cell r="Z152"/>
          <cell r="AA152" t="str">
            <v>H</v>
          </cell>
          <cell r="AB152" t="str">
            <v>56884654356</v>
          </cell>
          <cell r="AC152" t="str">
            <v>PERMANENTE</v>
          </cell>
          <cell r="AD152" t="str">
            <v>MEXICO</v>
          </cell>
          <cell r="AE152" t="str">
            <v>SOLTERO(A)</v>
          </cell>
          <cell r="AF152" t="str">
            <v>SECUNDARIA</v>
          </cell>
          <cell r="AG152" t="str">
            <v>(OMISION)</v>
          </cell>
          <cell r="AH152"/>
          <cell r="AI152"/>
          <cell r="AJ152" t="str">
            <v>gironfriasluis@gmail.com</v>
          </cell>
          <cell r="AK152" t="str">
            <v>COSTO VARIABLE</v>
          </cell>
          <cell r="AL152" t="str">
            <v>AVIOR CAL</v>
          </cell>
          <cell r="AM152" t="str">
            <v>AV17 HISENSE EDOMX</v>
          </cell>
          <cell r="AN152"/>
          <cell r="AO152"/>
          <cell r="AP152" t="str">
            <v>10081471</v>
          </cell>
          <cell r="AR152" t="str">
            <v>Sindicalizado</v>
          </cell>
        </row>
        <row r="153">
          <cell r="A153" t="str">
            <v>171414</v>
          </cell>
          <cell r="B153" t="str">
            <v>MARCE BARCENAS CESAR</v>
          </cell>
          <cell r="C153" t="str">
            <v>AYUDANTE GENERAL</v>
          </cell>
          <cell r="D153" t="str">
            <v>PLANEACION Y LOGISTICA</v>
          </cell>
          <cell r="E153" t="str">
            <v>AV01020701 HISENSE CUOTA ADMINISTRATIVA</v>
          </cell>
          <cell r="F153" t="str">
            <v>25/01/2024</v>
          </cell>
          <cell r="G153" t="str">
            <v>02/02/2024</v>
          </cell>
          <cell r="H153" t="str">
            <v>BAJA</v>
          </cell>
          <cell r="I153" t="str">
            <v>ABANDONO DE EMPLEO</v>
          </cell>
          <cell r="J153">
            <v>248.93</v>
          </cell>
          <cell r="K153">
            <v>261.17</v>
          </cell>
          <cell r="L153" t="str">
            <v>SEM17</v>
          </cell>
          <cell r="M153" t="str">
            <v>17 SINDICALIZADO - MEX HISENSE</v>
          </cell>
          <cell r="N153" t="str">
            <v>26/02/2001</v>
          </cell>
          <cell r="O153" t="str">
            <v>MABC010226AR5</v>
          </cell>
          <cell r="P153" t="str">
            <v>MABC010226HMCRRSA8</v>
          </cell>
          <cell r="Q153" t="str">
            <v>19190177923</v>
          </cell>
          <cell r="R153" t="str">
            <v>C EDIF LORO DPTO</v>
          </cell>
          <cell r="S153" t="str">
            <v>204</v>
          </cell>
          <cell r="T153"/>
          <cell r="U153" t="str">
            <v>CONJUNTO JALATLACO</v>
          </cell>
          <cell r="V153"/>
          <cell r="W153" t="str">
            <v>MEXICO</v>
          </cell>
          <cell r="X153">
            <v>55737</v>
          </cell>
          <cell r="Y153" t="str">
            <v>5570620754</v>
          </cell>
          <cell r="Z153"/>
          <cell r="AA153" t="str">
            <v>H</v>
          </cell>
          <cell r="AB153" t="str">
            <v>56835050242</v>
          </cell>
          <cell r="AC153" t="str">
            <v>PERMANENTE</v>
          </cell>
          <cell r="AD153" t="str">
            <v>MEXICO</v>
          </cell>
          <cell r="AE153" t="str">
            <v>SOLTERO(A)</v>
          </cell>
          <cell r="AF153" t="str">
            <v>SECUNDARIA</v>
          </cell>
          <cell r="AG153" t="str">
            <v>(OMISION)</v>
          </cell>
          <cell r="AH153"/>
          <cell r="AI153"/>
          <cell r="AJ153" t="str">
            <v>marcecesar013@gmail.com</v>
          </cell>
          <cell r="AK153" t="str">
            <v>COSTO VARIABLE</v>
          </cell>
          <cell r="AL153" t="str">
            <v>AVIOR CAL</v>
          </cell>
          <cell r="AM153" t="str">
            <v>AV17 HISENSE EDOMX</v>
          </cell>
          <cell r="AN153"/>
          <cell r="AO153"/>
          <cell r="AP153" t="str">
            <v>10044393</v>
          </cell>
          <cell r="AR153" t="str">
            <v>Sindicalizado</v>
          </cell>
        </row>
        <row r="154">
          <cell r="A154" t="str">
            <v>171415</v>
          </cell>
          <cell r="B154" t="str">
            <v>VELAZCO MELO JOAQUIN</v>
          </cell>
          <cell r="C154" t="str">
            <v>AYUDANTE GENERAL</v>
          </cell>
          <cell r="D154" t="str">
            <v>PLANEACION Y LOGISTICA</v>
          </cell>
          <cell r="E154" t="str">
            <v>AV01020701 HISENSE CUOTA ADMINISTRATIVA</v>
          </cell>
          <cell r="F154" t="str">
            <v>26/01/2024</v>
          </cell>
          <cell r="G154" t="str">
            <v>02/02/2024</v>
          </cell>
          <cell r="H154" t="str">
            <v>BAJA</v>
          </cell>
          <cell r="I154" t="str">
            <v>ABANDONO DE EMPLEO</v>
          </cell>
          <cell r="J154">
            <v>248.93</v>
          </cell>
          <cell r="K154">
            <v>261.17</v>
          </cell>
          <cell r="L154" t="str">
            <v>SEM17</v>
          </cell>
          <cell r="M154" t="str">
            <v>17 SINDICALIZADO - MEX HISENSE</v>
          </cell>
          <cell r="N154" t="str">
            <v>25/10/1997</v>
          </cell>
          <cell r="O154" t="str">
            <v>VEMJ9710259Z9</v>
          </cell>
          <cell r="P154" t="str">
            <v>VEMJ971025HVZLLQ09</v>
          </cell>
          <cell r="Q154" t="str">
            <v>69159717888</v>
          </cell>
          <cell r="R154" t="str">
            <v>C SIERRA MOJADA MZA 22 LT 7 CS</v>
          </cell>
          <cell r="S154"/>
          <cell r="T154"/>
          <cell r="U154" t="str">
            <v>FRACC LOMAS DE COACALCO</v>
          </cell>
          <cell r="V154"/>
          <cell r="W154" t="str">
            <v>MEXICO</v>
          </cell>
          <cell r="X154">
            <v>55736</v>
          </cell>
          <cell r="Y154" t="str">
            <v>5534311909</v>
          </cell>
          <cell r="Z154"/>
          <cell r="AA154" t="str">
            <v>H</v>
          </cell>
          <cell r="AB154" t="str">
            <v>56883990811</v>
          </cell>
          <cell r="AC154" t="str">
            <v>PERMANENTE</v>
          </cell>
          <cell r="AD154" t="str">
            <v>VERACRUZ</v>
          </cell>
          <cell r="AE154" t="str">
            <v>SOLTERO(A)</v>
          </cell>
          <cell r="AF154" t="str">
            <v>SECUNDARIA</v>
          </cell>
          <cell r="AG154" t="str">
            <v>(OMISION)</v>
          </cell>
          <cell r="AH154"/>
          <cell r="AI154"/>
          <cell r="AJ154" t="str">
            <v>joaquin971025@gmail.com</v>
          </cell>
          <cell r="AK154" t="str">
            <v>COSTO VARIABLE</v>
          </cell>
          <cell r="AL154" t="str">
            <v>AVIOR CAL</v>
          </cell>
          <cell r="AM154" t="str">
            <v>AV17 HISENSE EDOMX</v>
          </cell>
          <cell r="AN154"/>
          <cell r="AO154"/>
          <cell r="AP154" t="str">
            <v>10081503</v>
          </cell>
          <cell r="AR154" t="str">
            <v>Sindicalizado</v>
          </cell>
        </row>
        <row r="155">
          <cell r="A155" t="str">
            <v>171416</v>
          </cell>
          <cell r="B155" t="str">
            <v>HERNANDEZ VARGAS JOSE LUIS</v>
          </cell>
          <cell r="C155" t="str">
            <v>MONTACARGUISTA</v>
          </cell>
          <cell r="D155" t="str">
            <v>PLANEACION Y LOGISTICA</v>
          </cell>
          <cell r="E155" t="str">
            <v>AV01020701 HISENSE CUOTA ADMINISTRATIVA</v>
          </cell>
          <cell r="F155" t="str">
            <v>30/01/2024</v>
          </cell>
          <cell r="G155"/>
          <cell r="H155" t="str">
            <v>REINGRESO</v>
          </cell>
          <cell r="I155" t="str">
            <v>RECONTRATACION</v>
          </cell>
          <cell r="J155">
            <v>313.12</v>
          </cell>
          <cell r="K155">
            <v>328.52</v>
          </cell>
          <cell r="L155" t="str">
            <v>SEM17</v>
          </cell>
          <cell r="M155" t="str">
            <v>17 SINDICALIZADO - MEX HISENSE</v>
          </cell>
          <cell r="N155" t="str">
            <v>13/03/1971</v>
          </cell>
          <cell r="O155" t="str">
            <v>HEVL7103138Q9</v>
          </cell>
          <cell r="P155" t="str">
            <v>HEVL710313HDFRRS02</v>
          </cell>
          <cell r="Q155" t="str">
            <v>20897123426</v>
          </cell>
          <cell r="R155" t="str">
            <v>EDIF B 3 D 202</v>
          </cell>
          <cell r="S155"/>
          <cell r="T155"/>
          <cell r="U155" t="str">
            <v>U HAB ARISTAS</v>
          </cell>
          <cell r="V155"/>
          <cell r="W155" t="str">
            <v>MEXICO</v>
          </cell>
          <cell r="X155">
            <v>54926</v>
          </cell>
          <cell r="Y155" t="str">
            <v>5544059692</v>
          </cell>
          <cell r="Z155"/>
          <cell r="AA155" t="str">
            <v>H</v>
          </cell>
          <cell r="AB155" t="str">
            <v>56884139783</v>
          </cell>
          <cell r="AC155" t="str">
            <v>PERMANENTE</v>
          </cell>
          <cell r="AD155" t="str">
            <v>DISTRITO FEDERAL</v>
          </cell>
          <cell r="AE155" t="str">
            <v>CASADO(A)</v>
          </cell>
          <cell r="AF155" t="str">
            <v>BACHILLERATO</v>
          </cell>
          <cell r="AG155" t="str">
            <v>(OMISION)</v>
          </cell>
          <cell r="AH155"/>
          <cell r="AI155"/>
          <cell r="AJ155" t="str">
            <v>chelis.herandezv@gmail.com</v>
          </cell>
          <cell r="AK155" t="str">
            <v>COSTO VARIABLE</v>
          </cell>
          <cell r="AL155" t="str">
            <v>AVIOR CAL</v>
          </cell>
          <cell r="AM155" t="str">
            <v>AV17 HISENSE EDOMX</v>
          </cell>
          <cell r="AN155"/>
          <cell r="AO155"/>
          <cell r="AP155" t="str">
            <v>10081475</v>
          </cell>
          <cell r="AR155" t="str">
            <v>Sindicalizado</v>
          </cell>
        </row>
        <row r="156">
          <cell r="A156" t="str">
            <v>171417</v>
          </cell>
          <cell r="B156" t="str">
            <v>CRUZ FLORES DANIELA</v>
          </cell>
          <cell r="C156" t="str">
            <v>AUXILIAR DE VERIFICACION</v>
          </cell>
          <cell r="D156" t="str">
            <v>PLANEACION Y LOGISTICA</v>
          </cell>
          <cell r="E156" t="str">
            <v>AV01020701 HISENSE CUOTA ADMINISTRATIVA</v>
          </cell>
          <cell r="F156" t="str">
            <v>31/01/2024</v>
          </cell>
          <cell r="G156"/>
          <cell r="H156" t="str">
            <v>ALTA</v>
          </cell>
          <cell r="I156" t="str">
            <v>CONTRATACION</v>
          </cell>
          <cell r="J156">
            <v>302.10000000000002</v>
          </cell>
          <cell r="K156">
            <v>316.95999999999998</v>
          </cell>
          <cell r="L156" t="str">
            <v>SEM17</v>
          </cell>
          <cell r="M156" t="str">
            <v>17 CONFIANZA - MEXICO HISENSE</v>
          </cell>
          <cell r="N156" t="str">
            <v>21/09/1998</v>
          </cell>
          <cell r="O156" t="str">
            <v>CUFD980921CX4</v>
          </cell>
          <cell r="P156" t="str">
            <v>CUFD980921MMCRLN09</v>
          </cell>
          <cell r="Q156" t="str">
            <v>74169877490</v>
          </cell>
          <cell r="R156" t="str">
            <v xml:space="preserve">CDA RNCDA DE AVELLANOS MZA 10 </v>
          </cell>
          <cell r="S156"/>
          <cell r="T156"/>
          <cell r="U156" t="str">
            <v>FRACC RINCONADA SAN FELIPE</v>
          </cell>
          <cell r="V156"/>
          <cell r="W156" t="str">
            <v>MEXICO</v>
          </cell>
          <cell r="X156">
            <v>55719</v>
          </cell>
          <cell r="Y156" t="str">
            <v>5534488985</v>
          </cell>
          <cell r="Z156"/>
          <cell r="AA156" t="str">
            <v>M</v>
          </cell>
          <cell r="AB156" t="str">
            <v>56884513162</v>
          </cell>
          <cell r="AC156" t="str">
            <v>PERMANENTE</v>
          </cell>
          <cell r="AD156" t="str">
            <v>MEXICO</v>
          </cell>
          <cell r="AE156" t="str">
            <v>SOLTERO(A)</v>
          </cell>
          <cell r="AF156" t="str">
            <v>BACHILLERATO</v>
          </cell>
          <cell r="AG156" t="str">
            <v>(OMISION)</v>
          </cell>
          <cell r="AH156"/>
          <cell r="AI156"/>
          <cell r="AJ156" t="str">
            <v>df6181655@gmail.com</v>
          </cell>
          <cell r="AK156" t="str">
            <v>COSTO VARIABLE</v>
          </cell>
          <cell r="AL156" t="str">
            <v>AVIOR CAL</v>
          </cell>
          <cell r="AM156" t="str">
            <v>AV17 HISENSE EDOMX</v>
          </cell>
          <cell r="AN156"/>
          <cell r="AO156"/>
          <cell r="AP156" t="str">
            <v>10081630</v>
          </cell>
          <cell r="AR156" t="str">
            <v>Aministrativo</v>
          </cell>
        </row>
        <row r="157">
          <cell r="A157" t="str">
            <v>171418</v>
          </cell>
          <cell r="B157" t="str">
            <v>PEREZ GAONA OMAR</v>
          </cell>
          <cell r="C157" t="str">
            <v>AYUDANTE GENERAL</v>
          </cell>
          <cell r="D157" t="str">
            <v>PLANEACION Y LOGISTICA</v>
          </cell>
          <cell r="E157" t="str">
            <v>AV01020701 HISENSE CUOTA ADMINISTRATIVA</v>
          </cell>
          <cell r="F157" t="str">
            <v>31/01/2024</v>
          </cell>
          <cell r="G157"/>
          <cell r="H157" t="str">
            <v>ALTA</v>
          </cell>
          <cell r="I157" t="str">
            <v>CONTRATACION</v>
          </cell>
          <cell r="J157">
            <v>248.93</v>
          </cell>
          <cell r="K157">
            <v>261.17</v>
          </cell>
          <cell r="L157" t="str">
            <v>SEM17</v>
          </cell>
          <cell r="M157" t="str">
            <v>17 SINDICALIZADO - MEX HISENSE</v>
          </cell>
          <cell r="N157" t="str">
            <v>07/06/2000</v>
          </cell>
          <cell r="O157" t="str">
            <v>PEGO000607P98</v>
          </cell>
          <cell r="P157" t="str">
            <v>PEGO000607HMCRNMA4</v>
          </cell>
          <cell r="Q157" t="str">
            <v>38170009179</v>
          </cell>
          <cell r="R157" t="str">
            <v>C VIRGEN DE LA SALUD OTE 9 C</v>
          </cell>
          <cell r="S157"/>
          <cell r="T157"/>
          <cell r="U157" t="str">
            <v>FRACC LA GUADALUPANA</v>
          </cell>
          <cell r="V157"/>
          <cell r="W157" t="str">
            <v>MEXICO</v>
          </cell>
          <cell r="X157">
            <v>55060</v>
          </cell>
          <cell r="Y157" t="str">
            <v>5632969201</v>
          </cell>
          <cell r="Z157"/>
          <cell r="AA157" t="str">
            <v>H</v>
          </cell>
          <cell r="AB157" t="str">
            <v>56884621287</v>
          </cell>
          <cell r="AC157" t="str">
            <v>PERMANENTE</v>
          </cell>
          <cell r="AD157" t="str">
            <v>MEXICO</v>
          </cell>
          <cell r="AE157" t="str">
            <v>UNION LIBRE</v>
          </cell>
          <cell r="AF157" t="str">
            <v>SECUNDARIA</v>
          </cell>
          <cell r="AG157" t="str">
            <v>(OMISION)</v>
          </cell>
          <cell r="AH157"/>
          <cell r="AI157"/>
          <cell r="AJ157" t="str">
            <v>omargaona2000@gmail.com</v>
          </cell>
          <cell r="AK157" t="str">
            <v>COSTO VARIABLE</v>
          </cell>
          <cell r="AL157" t="str">
            <v>AVIOR CAL</v>
          </cell>
          <cell r="AM157" t="str">
            <v>AV17 HISENSE EDOMX</v>
          </cell>
          <cell r="AN157"/>
          <cell r="AO157"/>
          <cell r="AP157" t="str">
            <v>10081637</v>
          </cell>
          <cell r="AR157" t="str">
            <v>Sindicalizado</v>
          </cell>
        </row>
        <row r="158">
          <cell r="A158" t="str">
            <v>171419</v>
          </cell>
          <cell r="B158" t="str">
            <v>CABALLERO VALADEZ LUIS ROBERTO</v>
          </cell>
          <cell r="C158" t="str">
            <v>ANALISTA DE OPERACIONES</v>
          </cell>
          <cell r="D158" t="str">
            <v>OPERACIONES</v>
          </cell>
          <cell r="E158" t="str">
            <v>AV01020702 HISENSE SERVICIOS ADICIONALES</v>
          </cell>
          <cell r="F158" t="str">
            <v>01/02/2024</v>
          </cell>
          <cell r="G158"/>
          <cell r="H158" t="str">
            <v>ALTA</v>
          </cell>
          <cell r="I158" t="str">
            <v>CONTRATACION</v>
          </cell>
          <cell r="J158">
            <v>304.95</v>
          </cell>
          <cell r="K158">
            <v>319.95</v>
          </cell>
          <cell r="L158" t="str">
            <v>SEM17</v>
          </cell>
          <cell r="M158" t="str">
            <v>17 CONFIANZA - MEXICO HISENSE</v>
          </cell>
          <cell r="N158" t="str">
            <v>14/06/1998</v>
          </cell>
          <cell r="O158" t="str">
            <v>CAVL980614RN7</v>
          </cell>
          <cell r="P158" t="str">
            <v>CAVL980614HMCBLS07</v>
          </cell>
          <cell r="Q158" t="str">
            <v>74169822884</v>
          </cell>
          <cell r="R158" t="str">
            <v>ALFREDO DEL MAZO 7 MZ 27</v>
          </cell>
          <cell r="S158"/>
          <cell r="T158"/>
          <cell r="U158" t="str">
            <v>LA JOYITA</v>
          </cell>
          <cell r="V158"/>
          <cell r="W158" t="str">
            <v>MEXICO</v>
          </cell>
          <cell r="X158">
            <v>54744</v>
          </cell>
          <cell r="Y158" t="str">
            <v>5626392961</v>
          </cell>
          <cell r="Z158"/>
          <cell r="AA158" t="str">
            <v>H</v>
          </cell>
          <cell r="AB158" t="str">
            <v>56884720349</v>
          </cell>
          <cell r="AC158" t="str">
            <v>PERMANENTE</v>
          </cell>
          <cell r="AD158" t="str">
            <v>MEXICO</v>
          </cell>
          <cell r="AE158" t="str">
            <v>SOLTERO(A)</v>
          </cell>
          <cell r="AF158" t="str">
            <v>PROFESIONAL</v>
          </cell>
          <cell r="AG158" t="str">
            <v>(OMISION)</v>
          </cell>
          <cell r="AH158"/>
          <cell r="AI158"/>
          <cell r="AJ158" t="str">
            <v>luisrobert1@live.com.mx</v>
          </cell>
          <cell r="AK158" t="str">
            <v>COSTO VARIABLE</v>
          </cell>
          <cell r="AL158" t="str">
            <v>AVIOR CAL</v>
          </cell>
          <cell r="AM158" t="str">
            <v>AV17 HISENSE EDOMX</v>
          </cell>
          <cell r="AN158"/>
          <cell r="AO158"/>
          <cell r="AP158" t="str">
            <v>10081673</v>
          </cell>
          <cell r="AR158" t="str">
            <v>Aministrativo</v>
          </cell>
        </row>
        <row r="159">
          <cell r="A159" t="str">
            <v>220334</v>
          </cell>
          <cell r="B159" t="str">
            <v>DOMINGUEZ RODRIGUEZ LUIS ANGEL</v>
          </cell>
          <cell r="C159" t="str">
            <v>AUXILIAR DE SERVICIOS GENERALES</v>
          </cell>
          <cell r="D159" t="str">
            <v>SERVICIOS GENERALES</v>
          </cell>
          <cell r="E159" t="str">
            <v>AV01020901 RAPPI CUOTA ADMINISTRATIVA</v>
          </cell>
          <cell r="F159" t="str">
            <v>03/01/2024</v>
          </cell>
          <cell r="G159"/>
          <cell r="H159" t="str">
            <v>ALTA</v>
          </cell>
          <cell r="I159" t="str">
            <v>CONTRATACION</v>
          </cell>
          <cell r="J159">
            <v>248.93</v>
          </cell>
          <cell r="K159">
            <v>261.2</v>
          </cell>
          <cell r="L159" t="str">
            <v>SEM22</v>
          </cell>
          <cell r="M159" t="str">
            <v>22 SINDICALIZADO RAPPI</v>
          </cell>
          <cell r="N159" t="str">
            <v>19/11/2000</v>
          </cell>
          <cell r="O159" t="str">
            <v>DORL0011197J0</v>
          </cell>
          <cell r="P159" t="str">
            <v>DORL001119HDFMDSA8</v>
          </cell>
          <cell r="Q159" t="str">
            <v>25170057886</v>
          </cell>
          <cell r="R159" t="str">
            <v>PROL MICHOACAN</v>
          </cell>
          <cell r="S159" t="str">
            <v>SN</v>
          </cell>
          <cell r="T159"/>
          <cell r="U159" t="str">
            <v>BARR SANTIAGO</v>
          </cell>
          <cell r="V159"/>
          <cell r="W159" t="str">
            <v>MEXICO</v>
          </cell>
          <cell r="X159">
            <v>54667</v>
          </cell>
          <cell r="Y159" t="str">
            <v>5518479000</v>
          </cell>
          <cell r="Z159"/>
          <cell r="AA159" t="str">
            <v>H</v>
          </cell>
          <cell r="AB159" t="str">
            <v>56882232434</v>
          </cell>
          <cell r="AC159" t="str">
            <v>PERMANENTE</v>
          </cell>
          <cell r="AD159" t="str">
            <v>QUERETARO</v>
          </cell>
          <cell r="AE159" t="str">
            <v>SOLTERO(A)</v>
          </cell>
          <cell r="AF159" t="str">
            <v>SECUNDARIA</v>
          </cell>
          <cell r="AG159" t="str">
            <v>(OMISION)</v>
          </cell>
          <cell r="AH159"/>
          <cell r="AI159"/>
          <cell r="AJ159" t="str">
            <v>luisrda40@gmail.com</v>
          </cell>
          <cell r="AK159" t="str">
            <v>COSTO VARIABLE</v>
          </cell>
          <cell r="AL159" t="str">
            <v>AVIOR CAL</v>
          </cell>
          <cell r="AM159" t="str">
            <v>AV22 RAPPI EDOMX</v>
          </cell>
          <cell r="AN159"/>
          <cell r="AO159"/>
          <cell r="AP159" t="str">
            <v>10080517</v>
          </cell>
          <cell r="AR159"/>
        </row>
        <row r="160">
          <cell r="A160" t="str">
            <v>220335</v>
          </cell>
          <cell r="B160" t="str">
            <v>LUNA FERNANDEZ SAULO ABINADAR</v>
          </cell>
          <cell r="C160" t="str">
            <v>AUXILIAR DE SERVICIOS GENERALES</v>
          </cell>
          <cell r="D160" t="str">
            <v>SERVICIOS GENERALES</v>
          </cell>
          <cell r="E160" t="str">
            <v>AV01020901 RAPPI CUOTA ADMINISTRATIVA</v>
          </cell>
          <cell r="F160" t="str">
            <v>03/01/2024</v>
          </cell>
          <cell r="G160" t="str">
            <v>11/01/2024</v>
          </cell>
          <cell r="H160" t="str">
            <v>BAJA</v>
          </cell>
          <cell r="I160" t="str">
            <v>ABANDONO DE EMPLEO</v>
          </cell>
          <cell r="J160">
            <v>248.93</v>
          </cell>
          <cell r="K160">
            <v>261.2</v>
          </cell>
          <cell r="L160" t="str">
            <v>SEM22</v>
          </cell>
          <cell r="M160" t="str">
            <v>22 SINDICALIZADO RAPPI</v>
          </cell>
          <cell r="N160" t="str">
            <v>07/04/1996</v>
          </cell>
          <cell r="O160" t="str">
            <v>LUFS9604073VA</v>
          </cell>
          <cell r="P160" t="str">
            <v>LUFS960407HMCNRL07</v>
          </cell>
          <cell r="Q160" t="str">
            <v>92149604495</v>
          </cell>
          <cell r="R160" t="str">
            <v>LAGO TORRENS MZ4</v>
          </cell>
          <cell r="S160" t="str">
            <v>LT 1 3</v>
          </cell>
          <cell r="T160"/>
          <cell r="U160" t="str">
            <v>UNIDAD FAMILIAR C.T.C.</v>
          </cell>
          <cell r="V160"/>
          <cell r="W160" t="str">
            <v>MEXICO</v>
          </cell>
          <cell r="X160">
            <v>55604</v>
          </cell>
          <cell r="Y160" t="str">
            <v>5560315867</v>
          </cell>
          <cell r="Z160"/>
          <cell r="AA160" t="str">
            <v>H</v>
          </cell>
          <cell r="AB160" t="str">
            <v>56825112195</v>
          </cell>
          <cell r="AC160" t="str">
            <v>PERMANENTE</v>
          </cell>
          <cell r="AD160" t="str">
            <v>QUERETARO</v>
          </cell>
          <cell r="AE160" t="str">
            <v>UNION LIBRE</v>
          </cell>
          <cell r="AF160" t="str">
            <v>BACHILLERATO</v>
          </cell>
          <cell r="AG160" t="str">
            <v>(OMISION)</v>
          </cell>
          <cell r="AH160"/>
          <cell r="AI160"/>
          <cell r="AJ160" t="str">
            <v>zaulo234@gmail.com</v>
          </cell>
          <cell r="AK160" t="str">
            <v>COSTO VARIABLE</v>
          </cell>
          <cell r="AL160" t="str">
            <v>AVIOR CAL</v>
          </cell>
          <cell r="AM160" t="str">
            <v>AV22 RAPPI EDOMX</v>
          </cell>
          <cell r="AN160"/>
          <cell r="AO160"/>
          <cell r="AP160" t="str">
            <v>10080518</v>
          </cell>
          <cell r="AR160"/>
        </row>
        <row r="161">
          <cell r="A161" t="str">
            <v>220336</v>
          </cell>
          <cell r="B161" t="str">
            <v>ANGELES RESENDIZ GABRIELA</v>
          </cell>
          <cell r="C161" t="str">
            <v>AUXILIAR DE SERVICIOS GENERALES</v>
          </cell>
          <cell r="D161" t="str">
            <v>SERVICIOS GENERALES</v>
          </cell>
          <cell r="E161" t="str">
            <v>AV01020901 RAPPI CUOTA ADMINISTRATIVA</v>
          </cell>
          <cell r="F161" t="str">
            <v>04/01/2024</v>
          </cell>
          <cell r="G161"/>
          <cell r="H161" t="str">
            <v>ALTA</v>
          </cell>
          <cell r="I161" t="str">
            <v>CONTRATACION</v>
          </cell>
          <cell r="J161">
            <v>248.93</v>
          </cell>
          <cell r="K161">
            <v>261.17</v>
          </cell>
          <cell r="L161" t="str">
            <v>SEM22</v>
          </cell>
          <cell r="M161" t="str">
            <v>22 SINDICALIZADO RAPPI</v>
          </cell>
          <cell r="N161" t="str">
            <v>08/02/1995</v>
          </cell>
          <cell r="O161" t="str">
            <v>AERG9502083Q7</v>
          </cell>
          <cell r="P161" t="str">
            <v>AERG950208MHGNSB04</v>
          </cell>
          <cell r="Q161" t="str">
            <v>92129506942</v>
          </cell>
          <cell r="R161" t="str">
            <v>AV DEL CHOPO</v>
          </cell>
          <cell r="S161" t="str">
            <v>LT 83 82</v>
          </cell>
          <cell r="T161"/>
          <cell r="U161" t="str">
            <v>BARR SANTA CRUZ</v>
          </cell>
          <cell r="V161"/>
          <cell r="W161" t="str">
            <v>MEXICO</v>
          </cell>
          <cell r="X161">
            <v>54783</v>
          </cell>
          <cell r="Y161" t="str">
            <v>5524414063</v>
          </cell>
          <cell r="Z161"/>
          <cell r="AA161" t="str">
            <v>M</v>
          </cell>
          <cell r="AB161" t="str">
            <v>56882328472</v>
          </cell>
          <cell r="AC161" t="str">
            <v>PERMANENTE</v>
          </cell>
          <cell r="AD161" t="str">
            <v>QUERETARO</v>
          </cell>
          <cell r="AE161" t="str">
            <v>SOLTERO(A)</v>
          </cell>
          <cell r="AF161" t="str">
            <v>SECUNDARIA</v>
          </cell>
          <cell r="AG161" t="str">
            <v>(OMISION)</v>
          </cell>
          <cell r="AH161"/>
          <cell r="AI161"/>
          <cell r="AJ161" t="str">
            <v>angelesrgaby@gmail.com</v>
          </cell>
          <cell r="AK161" t="str">
            <v>COSTO VARIABLE</v>
          </cell>
          <cell r="AL161" t="str">
            <v>AVIOR CAL</v>
          </cell>
          <cell r="AM161" t="str">
            <v>AV22 RAPPI EDOMX</v>
          </cell>
          <cell r="AN161"/>
          <cell r="AO161"/>
          <cell r="AP161" t="str">
            <v>10080567</v>
          </cell>
          <cell r="AR161"/>
        </row>
        <row r="162">
          <cell r="A162" t="str">
            <v>220337</v>
          </cell>
          <cell r="B162" t="str">
            <v>MARTINEZ PEREZ OMAR</v>
          </cell>
          <cell r="C162" t="str">
            <v>AUXILIAR DE SERVICIOS GENERALES</v>
          </cell>
          <cell r="D162" t="str">
            <v>SERVICIOS GENERALES</v>
          </cell>
          <cell r="E162" t="str">
            <v>AV01020901 RAPPI CUOTA ADMINISTRATIVA</v>
          </cell>
          <cell r="F162" t="str">
            <v>04/01/2024</v>
          </cell>
          <cell r="G162" t="str">
            <v>19/01/2024</v>
          </cell>
          <cell r="H162" t="str">
            <v>BAJA</v>
          </cell>
          <cell r="I162" t="str">
            <v>ABANDONO DE EMPLEO</v>
          </cell>
          <cell r="J162">
            <v>248.93</v>
          </cell>
          <cell r="K162">
            <v>261.17</v>
          </cell>
          <cell r="L162" t="str">
            <v>SEM22</v>
          </cell>
          <cell r="M162" t="str">
            <v>22 SINDICALIZADO RAPPI</v>
          </cell>
          <cell r="N162" t="str">
            <v>04/11/1995</v>
          </cell>
          <cell r="O162" t="str">
            <v>MAPO9511042R1</v>
          </cell>
          <cell r="P162" t="str">
            <v>MAPO951104HDFRRM08</v>
          </cell>
          <cell r="Q162" t="str">
            <v>03159519259</v>
          </cell>
          <cell r="R162" t="str">
            <v>EMISOR PONIENTE</v>
          </cell>
          <cell r="S162" t="str">
            <v>SN</v>
          </cell>
          <cell r="T162"/>
          <cell r="U162" t="str">
            <v>PBLO SANTA BARBARA</v>
          </cell>
          <cell r="V162"/>
          <cell r="W162" t="str">
            <v>MEXICO</v>
          </cell>
          <cell r="X162">
            <v>54713</v>
          </cell>
          <cell r="Y162" t="str">
            <v>5529132289</v>
          </cell>
          <cell r="Z162"/>
          <cell r="AA162" t="str">
            <v>H</v>
          </cell>
          <cell r="AB162" t="str">
            <v>56882351260</v>
          </cell>
          <cell r="AC162" t="str">
            <v>PERMANENTE</v>
          </cell>
          <cell r="AD162" t="str">
            <v>QUERETARO</v>
          </cell>
          <cell r="AE162" t="str">
            <v>UNION LIBRE</v>
          </cell>
          <cell r="AF162" t="str">
            <v>SECUNDARIA</v>
          </cell>
          <cell r="AG162" t="str">
            <v>(OMISION)</v>
          </cell>
          <cell r="AH162"/>
          <cell r="AI162"/>
          <cell r="AJ162" t="str">
            <v>omar.abisumanelek@gmail.com</v>
          </cell>
          <cell r="AK162" t="str">
            <v>COSTO VARIABLE</v>
          </cell>
          <cell r="AL162" t="str">
            <v>AVIOR CAL</v>
          </cell>
          <cell r="AM162" t="str">
            <v>AV22 RAPPI EDOMX</v>
          </cell>
          <cell r="AN162"/>
          <cell r="AO162"/>
          <cell r="AP162" t="str">
            <v>10080574</v>
          </cell>
          <cell r="AR162"/>
        </row>
        <row r="163">
          <cell r="A163" t="str">
            <v>220338</v>
          </cell>
          <cell r="B163" t="str">
            <v>ROMERO CERON DIANA SARAY</v>
          </cell>
          <cell r="C163" t="str">
            <v>AUXILIAR DE SERVICIOS GENERALES</v>
          </cell>
          <cell r="D163" t="str">
            <v>SERVICIOS GENERALES</v>
          </cell>
          <cell r="E163" t="str">
            <v>AV01020901 RAPPI CUOTA ADMINISTRATIVA</v>
          </cell>
          <cell r="F163" t="str">
            <v>04/01/2024</v>
          </cell>
          <cell r="G163" t="str">
            <v>11/01/2024</v>
          </cell>
          <cell r="H163" t="str">
            <v>BAJA</v>
          </cell>
          <cell r="I163" t="str">
            <v>ABANDONO DE EMPLEO</v>
          </cell>
          <cell r="J163">
            <v>248.93</v>
          </cell>
          <cell r="K163">
            <v>261.17</v>
          </cell>
          <cell r="L163" t="str">
            <v>SEM22</v>
          </cell>
          <cell r="M163" t="str">
            <v>22 SINDICALIZADO RAPPI</v>
          </cell>
          <cell r="N163" t="str">
            <v>21/05/2004</v>
          </cell>
          <cell r="O163" t="str">
            <v>ROCD0405215T1</v>
          </cell>
          <cell r="P163" t="str">
            <v>ROCD040521MMCMRNA5</v>
          </cell>
          <cell r="Q163" t="str">
            <v>88180445947</v>
          </cell>
          <cell r="R163" t="str">
            <v>EL GRAN CANAL  S N MZ1</v>
          </cell>
          <cell r="S163" t="str">
            <v>LT 2</v>
          </cell>
          <cell r="T163"/>
          <cell r="U163" t="str">
            <v>SANTA MARIA CALIACAC</v>
          </cell>
          <cell r="V163"/>
          <cell r="W163" t="str">
            <v>MEXICO</v>
          </cell>
          <cell r="X163">
            <v>54783</v>
          </cell>
          <cell r="Y163" t="str">
            <v>5545129164</v>
          </cell>
          <cell r="Z163"/>
          <cell r="AA163" t="str">
            <v>M</v>
          </cell>
          <cell r="AB163" t="str">
            <v>56882328486</v>
          </cell>
          <cell r="AC163" t="str">
            <v>PERMANENTE</v>
          </cell>
          <cell r="AD163" t="str">
            <v>QUERETARO</v>
          </cell>
          <cell r="AE163" t="str">
            <v>SOLTERO(A)</v>
          </cell>
          <cell r="AF163" t="str">
            <v>SECUNDARIA</v>
          </cell>
          <cell r="AG163" t="str">
            <v>(OMISION)</v>
          </cell>
          <cell r="AH163"/>
          <cell r="AI163"/>
          <cell r="AJ163" t="str">
            <v>gr0954383@gmail.com</v>
          </cell>
          <cell r="AK163" t="str">
            <v>COSTO VARIABLE</v>
          </cell>
          <cell r="AL163" t="str">
            <v>AVIOR CAL</v>
          </cell>
          <cell r="AM163" t="str">
            <v>AV22 RAPPI EDOMX</v>
          </cell>
          <cell r="AN163"/>
          <cell r="AO163"/>
          <cell r="AP163" t="str">
            <v>10080561</v>
          </cell>
          <cell r="AR163"/>
        </row>
        <row r="164">
          <cell r="A164" t="str">
            <v>220339</v>
          </cell>
          <cell r="B164" t="str">
            <v>FLORES RODRIGUEZ ALEXIS</v>
          </cell>
          <cell r="C164" t="str">
            <v>AUXILIAR DE SERVICIOS GENERALES</v>
          </cell>
          <cell r="D164" t="str">
            <v>SERVICIOS GENERALES</v>
          </cell>
          <cell r="E164" t="str">
            <v>AV01020901 RAPPI CUOTA ADMINISTRATIVA</v>
          </cell>
          <cell r="F164" t="str">
            <v>05/01/2024</v>
          </cell>
          <cell r="G164" t="str">
            <v>11/01/2024</v>
          </cell>
          <cell r="H164" t="str">
            <v>BAJA</v>
          </cell>
          <cell r="I164" t="str">
            <v>ABANDONO DE EMPLEO</v>
          </cell>
          <cell r="J164">
            <v>248.93</v>
          </cell>
          <cell r="K164">
            <v>261.17</v>
          </cell>
          <cell r="L164" t="str">
            <v>SEM22</v>
          </cell>
          <cell r="M164" t="str">
            <v>22 SINDICALIZADO RAPPI</v>
          </cell>
          <cell r="N164" t="str">
            <v>16/08/2001</v>
          </cell>
          <cell r="O164" t="str">
            <v>FORA0108161J5</v>
          </cell>
          <cell r="P164" t="str">
            <v>FORA010816HMCLDLA0</v>
          </cell>
          <cell r="Q164" t="str">
            <v>18130198932</v>
          </cell>
          <cell r="R164" t="str">
            <v>LERDO DE TEJADA</v>
          </cell>
          <cell r="S164" t="str">
            <v>14</v>
          </cell>
          <cell r="T164"/>
          <cell r="U164" t="str">
            <v>BARR REYES</v>
          </cell>
          <cell r="V164"/>
          <cell r="W164" t="str">
            <v>MEXICO</v>
          </cell>
          <cell r="X164">
            <v>54660</v>
          </cell>
          <cell r="Y164" t="str">
            <v>5677002247</v>
          </cell>
          <cell r="Z164"/>
          <cell r="AA164" t="str">
            <v>H</v>
          </cell>
          <cell r="AB164" t="str">
            <v>56788157888</v>
          </cell>
          <cell r="AC164" t="str">
            <v>PERMANENTE</v>
          </cell>
          <cell r="AD164" t="str">
            <v>QUERETARO</v>
          </cell>
          <cell r="AE164" t="str">
            <v>UNION LIBRE</v>
          </cell>
          <cell r="AF164" t="str">
            <v>SECUNDARIA</v>
          </cell>
          <cell r="AG164" t="str">
            <v>(OMISION)</v>
          </cell>
          <cell r="AH164"/>
          <cell r="AI164"/>
          <cell r="AJ164" t="str">
            <v>alexflores18010@gmail.com</v>
          </cell>
          <cell r="AK164" t="str">
            <v>COSTO VARIABLE</v>
          </cell>
          <cell r="AL164" t="str">
            <v>AVIOR CAL</v>
          </cell>
          <cell r="AM164" t="str">
            <v>AV22 RAPPI EDOMX</v>
          </cell>
          <cell r="AN164"/>
          <cell r="AO164"/>
          <cell r="AP164" t="str">
            <v>10080594</v>
          </cell>
          <cell r="AR164"/>
        </row>
        <row r="165">
          <cell r="A165" t="str">
            <v>220340</v>
          </cell>
          <cell r="B165" t="str">
            <v>GARCIA CISNEROS FABIOLA</v>
          </cell>
          <cell r="C165" t="str">
            <v>AUXILIAR DE SERVICIOS GENERALES</v>
          </cell>
          <cell r="D165" t="str">
            <v>SERVICIOS GENERALES</v>
          </cell>
          <cell r="E165" t="str">
            <v>AV01020901 RAPPI CUOTA ADMINISTRATIVA</v>
          </cell>
          <cell r="F165" t="str">
            <v>05/01/2024</v>
          </cell>
          <cell r="G165" t="str">
            <v>11/01/2024</v>
          </cell>
          <cell r="H165" t="str">
            <v>BAJA</v>
          </cell>
          <cell r="I165" t="str">
            <v>ABANDONO DE EMPLEO</v>
          </cell>
          <cell r="J165">
            <v>248.93</v>
          </cell>
          <cell r="K165">
            <v>261.17</v>
          </cell>
          <cell r="L165" t="str">
            <v>SEM22</v>
          </cell>
          <cell r="M165" t="str">
            <v>22 SINDICALIZADO RAPPI</v>
          </cell>
          <cell r="N165" t="str">
            <v>28/11/2004</v>
          </cell>
          <cell r="O165" t="str">
            <v>GACF041128MH6</v>
          </cell>
          <cell r="P165" t="str">
            <v>GACF041128MMCRSBA7</v>
          </cell>
          <cell r="Q165" t="str">
            <v>04230411698</v>
          </cell>
          <cell r="R165" t="str">
            <v>PRIV MANGO COND 202 MZ 15</v>
          </cell>
          <cell r="S165" t="str">
            <v>LT 15 CS 193</v>
          </cell>
          <cell r="T165"/>
          <cell r="U165" t="str">
            <v>FRACC HACIENDA CUATITLAN</v>
          </cell>
          <cell r="V165"/>
          <cell r="W165" t="str">
            <v>MEXICO</v>
          </cell>
          <cell r="X165">
            <v>54803</v>
          </cell>
          <cell r="Y165" t="str">
            <v>5633884120</v>
          </cell>
          <cell r="Z165"/>
          <cell r="AA165" t="str">
            <v>M</v>
          </cell>
          <cell r="AB165" t="str">
            <v>56882378275</v>
          </cell>
          <cell r="AC165" t="str">
            <v>PERMANENTE</v>
          </cell>
          <cell r="AD165" t="str">
            <v>QUERETARO</v>
          </cell>
          <cell r="AE165" t="str">
            <v>SOLTERO(A)</v>
          </cell>
          <cell r="AF165" t="str">
            <v>BACHILLERATO</v>
          </cell>
          <cell r="AG165" t="str">
            <v>(OMISION)</v>
          </cell>
          <cell r="AH165"/>
          <cell r="AI165"/>
          <cell r="AJ165" t="str">
            <v>fabidagaraocisneros28@gmail.com</v>
          </cell>
          <cell r="AK165" t="str">
            <v>COSTO VARIABLE</v>
          </cell>
          <cell r="AL165" t="str">
            <v>AVIOR CAL</v>
          </cell>
          <cell r="AM165" t="str">
            <v>AV22 RAPPI EDOMX</v>
          </cell>
          <cell r="AN165"/>
          <cell r="AO165"/>
          <cell r="AP165" t="str">
            <v>10080638</v>
          </cell>
          <cell r="AR165"/>
        </row>
        <row r="166">
          <cell r="A166" t="str">
            <v>220341</v>
          </cell>
          <cell r="B166" t="str">
            <v>LEON PEREZ MARIA GUADALUPE</v>
          </cell>
          <cell r="C166" t="str">
            <v>AUXILIAR DE SERVICIOS GENERALES</v>
          </cell>
          <cell r="D166" t="str">
            <v>SERVICIOS GENERALES</v>
          </cell>
          <cell r="E166" t="str">
            <v>AV01020901 RAPPI CUOTA ADMINISTRATIVA</v>
          </cell>
          <cell r="F166" t="str">
            <v>05/01/2024</v>
          </cell>
          <cell r="G166"/>
          <cell r="H166" t="str">
            <v>ALTA</v>
          </cell>
          <cell r="I166" t="str">
            <v>CONTRATACION</v>
          </cell>
          <cell r="J166">
            <v>248.93</v>
          </cell>
          <cell r="K166">
            <v>261.17</v>
          </cell>
          <cell r="L166" t="str">
            <v>SEM22</v>
          </cell>
          <cell r="M166" t="str">
            <v>22 SINDICALIZADO RAPPI</v>
          </cell>
          <cell r="N166" t="str">
            <v>12/12/1971</v>
          </cell>
          <cell r="O166" t="str">
            <v>LEPG7112128QA</v>
          </cell>
          <cell r="P166" t="str">
            <v>LEPG711212MMCNRD15</v>
          </cell>
          <cell r="Q166" t="str">
            <v>92087100514</v>
          </cell>
          <cell r="R166" t="str">
            <v>CHAPULTEPEC</v>
          </cell>
          <cell r="S166" t="str">
            <v>SN</v>
          </cell>
          <cell r="T166"/>
          <cell r="U166" t="str">
            <v>BARR ZIMAPAN</v>
          </cell>
          <cell r="V166"/>
          <cell r="W166" t="str">
            <v>MEXICO</v>
          </cell>
          <cell r="X166">
            <v>54786</v>
          </cell>
          <cell r="Y166" t="str">
            <v>5547912517</v>
          </cell>
          <cell r="Z166"/>
          <cell r="AA166" t="str">
            <v>M</v>
          </cell>
          <cell r="AB166" t="str">
            <v>56882328501</v>
          </cell>
          <cell r="AC166" t="str">
            <v>PERMANENTE</v>
          </cell>
          <cell r="AD166" t="str">
            <v>QUERETARO</v>
          </cell>
          <cell r="AE166" t="str">
            <v>CASADO(A)</v>
          </cell>
          <cell r="AF166" t="str">
            <v>0</v>
          </cell>
          <cell r="AG166" t="str">
            <v>(OMISION)</v>
          </cell>
          <cell r="AH166"/>
          <cell r="AI166"/>
          <cell r="AJ166" t="str">
            <v>ma.leonuhd676@gmail.com</v>
          </cell>
          <cell r="AK166" t="str">
            <v>COSTO VARIABLE</v>
          </cell>
          <cell r="AL166" t="str">
            <v>AVIOR CAL</v>
          </cell>
          <cell r="AM166" t="str">
            <v>AV22 RAPPI EDOMX</v>
          </cell>
          <cell r="AN166"/>
          <cell r="AO166"/>
          <cell r="AP166" t="str">
            <v>10080588</v>
          </cell>
          <cell r="AR166"/>
        </row>
        <row r="167">
          <cell r="A167" t="str">
            <v>220342</v>
          </cell>
          <cell r="B167" t="str">
            <v>MARTINEZ GONZALEZ DAFNE</v>
          </cell>
          <cell r="C167" t="str">
            <v>AUXILIAR DE SERVICIOS GENERALES</v>
          </cell>
          <cell r="D167" t="str">
            <v>SERVICIOS GENERALES</v>
          </cell>
          <cell r="E167" t="str">
            <v>AV01020901 RAPPI CUOTA ADMINISTRATIVA</v>
          </cell>
          <cell r="F167" t="str">
            <v>05/01/2024</v>
          </cell>
          <cell r="G167"/>
          <cell r="H167" t="str">
            <v>ALTA</v>
          </cell>
          <cell r="I167" t="str">
            <v>CONTRATACION</v>
          </cell>
          <cell r="J167">
            <v>248.93</v>
          </cell>
          <cell r="K167">
            <v>261.17</v>
          </cell>
          <cell r="L167" t="str">
            <v>SEM22</v>
          </cell>
          <cell r="M167" t="str">
            <v>22 SINDICALIZADO RAPPI</v>
          </cell>
          <cell r="N167" t="str">
            <v>25/02/2000</v>
          </cell>
          <cell r="O167" t="str">
            <v>MAGD000225GZ6</v>
          </cell>
          <cell r="P167" t="str">
            <v>MAGD000225MMCRNFA7</v>
          </cell>
          <cell r="Q167" t="str">
            <v>39160006506</v>
          </cell>
          <cell r="R167" t="str">
            <v>HEROES DE LA REVOLUCION S/N</v>
          </cell>
          <cell r="S167"/>
          <cell r="T167"/>
          <cell r="U167" t="str">
            <v>BARR ACOCALCO</v>
          </cell>
          <cell r="V167"/>
          <cell r="W167" t="str">
            <v>MEXICO</v>
          </cell>
          <cell r="X167">
            <v>54667</v>
          </cell>
          <cell r="Y167" t="str">
            <v>5542839731</v>
          </cell>
          <cell r="Z167"/>
          <cell r="AA167" t="str">
            <v>M</v>
          </cell>
          <cell r="AB167" t="str">
            <v>56882420340</v>
          </cell>
          <cell r="AC167" t="str">
            <v>PERMANENTE</v>
          </cell>
          <cell r="AD167" t="str">
            <v>QUERETARO</v>
          </cell>
          <cell r="AE167" t="str">
            <v>SOLTERO(A)</v>
          </cell>
          <cell r="AF167" t="str">
            <v>SECUNDARIA</v>
          </cell>
          <cell r="AG167" t="str">
            <v>(OMISION)</v>
          </cell>
          <cell r="AH167"/>
          <cell r="AI167"/>
          <cell r="AJ167" t="str">
            <v>dafnem252@gmail.com</v>
          </cell>
          <cell r="AK167" t="str">
            <v>COSTO VARIABLE</v>
          </cell>
          <cell r="AL167" t="str">
            <v>AVIOR CAL</v>
          </cell>
          <cell r="AM167" t="str">
            <v>AV22 RAPPI EDOMX</v>
          </cell>
          <cell r="AN167"/>
          <cell r="AO167"/>
          <cell r="AP167" t="str">
            <v>10080633</v>
          </cell>
          <cell r="AR167"/>
        </row>
        <row r="168">
          <cell r="A168" t="str">
            <v>220343</v>
          </cell>
          <cell r="B168" t="str">
            <v>MARTINEZ SANCHEZ GABRIEL</v>
          </cell>
          <cell r="C168" t="str">
            <v>AUXILIAR DE SERVICIOS GENERALES</v>
          </cell>
          <cell r="D168" t="str">
            <v>SERVICIOS GENERALES</v>
          </cell>
          <cell r="E168" t="str">
            <v>AV01020901 RAPPI CUOTA ADMINISTRATIVA</v>
          </cell>
          <cell r="F168" t="str">
            <v>05/01/2024</v>
          </cell>
          <cell r="G168" t="str">
            <v>02/02/2024</v>
          </cell>
          <cell r="H168" t="str">
            <v>BAJA</v>
          </cell>
          <cell r="I168" t="str">
            <v>TERMINO DE CONTRATO</v>
          </cell>
          <cell r="J168">
            <v>248.93</v>
          </cell>
          <cell r="K168">
            <v>261.17</v>
          </cell>
          <cell r="L168" t="str">
            <v>SEM22</v>
          </cell>
          <cell r="M168" t="str">
            <v>22 SINDICALIZADO RAPPI</v>
          </cell>
          <cell r="N168" t="str">
            <v>07/11/2004</v>
          </cell>
          <cell r="O168" t="str">
            <v>MASG0411079J0</v>
          </cell>
          <cell r="P168" t="str">
            <v>MASG041107HMCRNBA5</v>
          </cell>
          <cell r="Q168" t="str">
            <v>08230468806</v>
          </cell>
          <cell r="R168" t="str">
            <v>EMISOR PONIENTE</v>
          </cell>
          <cell r="S168" t="str">
            <v>S/N</v>
          </cell>
          <cell r="T168"/>
          <cell r="U168" t="str">
            <v>PBLO SANTA BARBARA</v>
          </cell>
          <cell r="V168"/>
          <cell r="W168" t="str">
            <v>MEXICO</v>
          </cell>
          <cell r="X168">
            <v>54713</v>
          </cell>
          <cell r="Y168" t="str">
            <v>5558859951</v>
          </cell>
          <cell r="Z168"/>
          <cell r="AA168" t="str">
            <v>H</v>
          </cell>
          <cell r="AB168" t="str">
            <v>56859653822</v>
          </cell>
          <cell r="AC168" t="str">
            <v>PERMANENTE</v>
          </cell>
          <cell r="AD168" t="str">
            <v>QUERETARO</v>
          </cell>
          <cell r="AE168" t="str">
            <v>SOLTERO(A)</v>
          </cell>
          <cell r="AF168" t="str">
            <v>PRIMARIA</v>
          </cell>
          <cell r="AG168" t="str">
            <v>(OMISION)</v>
          </cell>
          <cell r="AH168"/>
          <cell r="AI168"/>
          <cell r="AJ168" t="str">
            <v>gabo1987ya@gmail.com</v>
          </cell>
          <cell r="AK168" t="str">
            <v>COSTO VARIABLE</v>
          </cell>
          <cell r="AL168" t="str">
            <v>AVIOR CAL</v>
          </cell>
          <cell r="AM168" t="str">
            <v>AV22 RAPPI EDOMX</v>
          </cell>
          <cell r="AN168"/>
          <cell r="AO168"/>
          <cell r="AP168" t="str">
            <v>10080609</v>
          </cell>
          <cell r="AR168"/>
        </row>
        <row r="169">
          <cell r="A169" t="str">
            <v>220344</v>
          </cell>
          <cell r="B169" t="str">
            <v>ALMAZAN CRUZ FRANCISCO</v>
          </cell>
          <cell r="C169" t="str">
            <v>AUXILIAR DE SERVICIOS GENERALES</v>
          </cell>
          <cell r="D169" t="str">
            <v>SERVICIOS GENERALES</v>
          </cell>
          <cell r="E169" t="str">
            <v>AV01020901 RAPPI CUOTA ADMINISTRATIVA</v>
          </cell>
          <cell r="F169" t="str">
            <v>10/01/2024</v>
          </cell>
          <cell r="G169" t="str">
            <v>26/01/2024</v>
          </cell>
          <cell r="H169" t="str">
            <v>BAJA</v>
          </cell>
          <cell r="I169" t="str">
            <v>TERMINO DE CONTRATO</v>
          </cell>
          <cell r="J169">
            <v>248.93</v>
          </cell>
          <cell r="K169">
            <v>261.17</v>
          </cell>
          <cell r="L169" t="str">
            <v>SEM22</v>
          </cell>
          <cell r="M169" t="str">
            <v>22 SINDICALIZADO RAPPI</v>
          </cell>
          <cell r="N169" t="str">
            <v>15/05/2001</v>
          </cell>
          <cell r="O169" t="str">
            <v>AACF010515RH2</v>
          </cell>
          <cell r="P169" t="str">
            <v>AACF010515HMCLRRA7</v>
          </cell>
          <cell r="Q169" t="str">
            <v>08210192442</v>
          </cell>
          <cell r="R169" t="str">
            <v>GIRASOLES DEPTO 1A</v>
          </cell>
          <cell r="S169" t="str">
            <v>1A</v>
          </cell>
          <cell r="T169"/>
          <cell r="U169" t="str">
            <v>RICARDO FLORES MAGN</v>
          </cell>
          <cell r="V169"/>
          <cell r="W169" t="str">
            <v>MEXICO</v>
          </cell>
          <cell r="X169">
            <v>54607</v>
          </cell>
          <cell r="Y169" t="str">
            <v>5548359400</v>
          </cell>
          <cell r="Z169"/>
          <cell r="AA169" t="str">
            <v>H</v>
          </cell>
          <cell r="AB169" t="str">
            <v>56882420368</v>
          </cell>
          <cell r="AC169" t="str">
            <v>PERMANENTE</v>
          </cell>
          <cell r="AD169" t="str">
            <v>QUERETARO</v>
          </cell>
          <cell r="AE169" t="str">
            <v>UNION LIBRE</v>
          </cell>
          <cell r="AF169" t="str">
            <v>SECUNDARIA</v>
          </cell>
          <cell r="AG169" t="str">
            <v>(OMISION)</v>
          </cell>
          <cell r="AH169"/>
          <cell r="AI169"/>
          <cell r="AJ169" t="str">
            <v>frankruz44@gmail.com</v>
          </cell>
          <cell r="AK169" t="str">
            <v>COSTO VARIABLE</v>
          </cell>
          <cell r="AL169" t="str">
            <v>AVIOR CAL</v>
          </cell>
          <cell r="AM169" t="str">
            <v>AV22 RAPPI EDOMX</v>
          </cell>
          <cell r="AN169"/>
          <cell r="AO169"/>
          <cell r="AP169" t="str">
            <v>10080795</v>
          </cell>
          <cell r="AR169"/>
        </row>
        <row r="170">
          <cell r="A170" t="str">
            <v>220345</v>
          </cell>
          <cell r="B170" t="str">
            <v>SEGUNDO MARQUEZ MARIA DE FATIMA</v>
          </cell>
          <cell r="C170" t="str">
            <v>AUXILIAR DE SERVICIOS GENERALES</v>
          </cell>
          <cell r="D170" t="str">
            <v>SERVICIOS GENERALES</v>
          </cell>
          <cell r="E170" t="str">
            <v>AV01020901 RAPPI CUOTA ADMINISTRATIVA</v>
          </cell>
          <cell r="F170" t="str">
            <v>10/01/2024</v>
          </cell>
          <cell r="G170" t="str">
            <v>18/01/2024</v>
          </cell>
          <cell r="H170" t="str">
            <v>BAJA</v>
          </cell>
          <cell r="I170" t="str">
            <v>ABANDONO DE EMPLEO</v>
          </cell>
          <cell r="J170">
            <v>248.93</v>
          </cell>
          <cell r="K170">
            <v>261.17</v>
          </cell>
          <cell r="L170" t="str">
            <v>SEM22</v>
          </cell>
          <cell r="M170" t="str">
            <v>22 SINDICALIZADO RAPPI</v>
          </cell>
          <cell r="N170" t="str">
            <v>09/06/1996</v>
          </cell>
          <cell r="O170" t="str">
            <v>SEMF960609T47</v>
          </cell>
          <cell r="P170" t="str">
            <v>SEMF960609MMCGRT08</v>
          </cell>
          <cell r="Q170" t="str">
            <v>63159636305</v>
          </cell>
          <cell r="R170" t="str">
            <v>AV TRABAJO</v>
          </cell>
          <cell r="S170" t="str">
            <v>3</v>
          </cell>
          <cell r="T170"/>
          <cell r="U170" t="str">
            <v>SANTA MARIA HUECATITLA</v>
          </cell>
          <cell r="V170"/>
          <cell r="W170" t="str">
            <v>MEXICO</v>
          </cell>
          <cell r="X170">
            <v>54784</v>
          </cell>
          <cell r="Y170" t="str">
            <v>5588074610</v>
          </cell>
          <cell r="Z170"/>
          <cell r="AA170" t="str">
            <v>M</v>
          </cell>
          <cell r="AB170" t="str">
            <v>56882646718</v>
          </cell>
          <cell r="AC170" t="str">
            <v>PERMANENTE</v>
          </cell>
          <cell r="AD170" t="str">
            <v>QUERETARO</v>
          </cell>
          <cell r="AE170" t="str">
            <v>UNION LIBRE</v>
          </cell>
          <cell r="AF170" t="str">
            <v>SECUNDARIA</v>
          </cell>
          <cell r="AG170" t="str">
            <v>(OMISION)</v>
          </cell>
          <cell r="AH170"/>
          <cell r="AI170"/>
          <cell r="AJ170" t="str">
            <v>fatimarquez163@gmail.com</v>
          </cell>
          <cell r="AK170" t="str">
            <v>COSTO VARIABLE</v>
          </cell>
          <cell r="AL170" t="str">
            <v>AVIOR CAL</v>
          </cell>
          <cell r="AM170" t="str">
            <v>AV22 RAPPI EDOMX</v>
          </cell>
          <cell r="AN170"/>
          <cell r="AO170"/>
          <cell r="AP170" t="str">
            <v>10080792</v>
          </cell>
          <cell r="AR170"/>
        </row>
        <row r="171">
          <cell r="A171" t="str">
            <v>220346</v>
          </cell>
          <cell r="B171" t="str">
            <v>CHACON URIBE BRANDON DANIEL</v>
          </cell>
          <cell r="C171" t="str">
            <v>AUXILIAR DE SERVICIOS GENERALES</v>
          </cell>
          <cell r="D171" t="str">
            <v>SERVICIOS GENERALES</v>
          </cell>
          <cell r="E171" t="str">
            <v>AV01020901 RAPPI CUOTA ADMINISTRATIVA</v>
          </cell>
          <cell r="F171" t="str">
            <v>11/01/2024</v>
          </cell>
          <cell r="G171" t="str">
            <v>18/01/2024</v>
          </cell>
          <cell r="H171" t="str">
            <v>BAJA</v>
          </cell>
          <cell r="I171" t="str">
            <v>ABANDONO DE EMPLEO</v>
          </cell>
          <cell r="J171">
            <v>248.93</v>
          </cell>
          <cell r="K171">
            <v>261.17</v>
          </cell>
          <cell r="L171" t="str">
            <v>SEM22</v>
          </cell>
          <cell r="M171" t="str">
            <v>22 SINDICALIZADO RAPPI</v>
          </cell>
          <cell r="N171" t="str">
            <v>09/05/1999</v>
          </cell>
          <cell r="O171" t="str">
            <v>CAUB990509P42</v>
          </cell>
          <cell r="P171" t="str">
            <v>CAUB990509HDFHRR06</v>
          </cell>
          <cell r="Q171" t="str">
            <v>27189970042</v>
          </cell>
          <cell r="R171" t="str">
            <v>AV CITLALTEPETL</v>
          </cell>
          <cell r="S171" t="str">
            <v>E 36</v>
          </cell>
          <cell r="T171"/>
          <cell r="U171" t="str">
            <v>FRACC RINCONADA CUAUTITLAN</v>
          </cell>
          <cell r="V171"/>
          <cell r="W171" t="str">
            <v>MEXICO</v>
          </cell>
          <cell r="X171">
            <v>54715</v>
          </cell>
          <cell r="Y171" t="str">
            <v>5539823363</v>
          </cell>
          <cell r="Z171"/>
          <cell r="AA171" t="str">
            <v>H</v>
          </cell>
          <cell r="AB171" t="str">
            <v>56882738845</v>
          </cell>
          <cell r="AC171" t="str">
            <v>PERMANENTE</v>
          </cell>
          <cell r="AD171" t="str">
            <v>QUERETARO</v>
          </cell>
          <cell r="AE171" t="str">
            <v>SOLTERO(A)</v>
          </cell>
          <cell r="AF171" t="str">
            <v>SECUNDARIA</v>
          </cell>
          <cell r="AG171" t="str">
            <v>(OMISION)</v>
          </cell>
          <cell r="AH171"/>
          <cell r="AI171"/>
          <cell r="AJ171" t="str">
            <v>danielcomex21@gmail.com</v>
          </cell>
          <cell r="AK171" t="str">
            <v>COSTO VARIABLE</v>
          </cell>
          <cell r="AL171" t="str">
            <v>AVIOR CAL</v>
          </cell>
          <cell r="AM171" t="str">
            <v>AV22 RAPPI EDOMX</v>
          </cell>
          <cell r="AN171"/>
          <cell r="AO171"/>
          <cell r="AP171" t="str">
            <v>10080862</v>
          </cell>
          <cell r="AR171"/>
        </row>
        <row r="172">
          <cell r="A172" t="str">
            <v>220347</v>
          </cell>
          <cell r="B172" t="str">
            <v>CANTELLANO MANUEL CLARA</v>
          </cell>
          <cell r="C172" t="str">
            <v>AUXILIAR DE SERVICIOS GENERALES</v>
          </cell>
          <cell r="D172" t="str">
            <v>SERVICIOS GENERALES</v>
          </cell>
          <cell r="E172" t="str">
            <v>AV01020901 RAPPI CUOTA ADMINISTRATIVA</v>
          </cell>
          <cell r="F172" t="str">
            <v>16/01/2024</v>
          </cell>
          <cell r="G172" t="str">
            <v>26/01/2024</v>
          </cell>
          <cell r="H172" t="str">
            <v>BAJA</v>
          </cell>
          <cell r="I172" t="str">
            <v>TERMINO DE CONTRATO</v>
          </cell>
          <cell r="J172">
            <v>248.93</v>
          </cell>
          <cell r="K172">
            <v>261.17</v>
          </cell>
          <cell r="L172" t="str">
            <v>SEM22</v>
          </cell>
          <cell r="M172" t="str">
            <v>22 SINDICALIZADO RAPPI</v>
          </cell>
          <cell r="N172" t="str">
            <v>14/04/1978</v>
          </cell>
          <cell r="O172" t="str">
            <v>CAMC780414QP3</v>
          </cell>
          <cell r="P172" t="str">
            <v>CAMC780414MVZNNL04</v>
          </cell>
          <cell r="Q172" t="str">
            <v>92977807129</v>
          </cell>
          <cell r="R172" t="str">
            <v>4TA CDA DE LA QUEMADA MZ 8</v>
          </cell>
          <cell r="S172" t="str">
            <v>LT 9 4</v>
          </cell>
          <cell r="T172"/>
          <cell r="U172" t="str">
            <v>FRACC EL DORADO</v>
          </cell>
          <cell r="V172"/>
          <cell r="W172" t="str">
            <v>MEXICO</v>
          </cell>
          <cell r="X172">
            <v>54680</v>
          </cell>
          <cell r="Y172" t="str">
            <v>5522801020</v>
          </cell>
          <cell r="Z172"/>
          <cell r="AA172" t="str">
            <v>M</v>
          </cell>
          <cell r="AB172" t="str">
            <v>56883207916</v>
          </cell>
          <cell r="AC172" t="str">
            <v>PERMANENTE</v>
          </cell>
          <cell r="AD172" t="str">
            <v>QUERETARO</v>
          </cell>
          <cell r="AE172" t="str">
            <v>SOLTERO(A)</v>
          </cell>
          <cell r="AF172" t="str">
            <v>SECUNDARIA</v>
          </cell>
          <cell r="AG172" t="str">
            <v>(OMISION)</v>
          </cell>
          <cell r="AH172"/>
          <cell r="AI172"/>
          <cell r="AJ172" t="str">
            <v>clerguardia@gmail.com</v>
          </cell>
          <cell r="AK172" t="str">
            <v>COSTO VARIABLE</v>
          </cell>
          <cell r="AL172" t="str">
            <v>AVIOR CAL</v>
          </cell>
          <cell r="AM172" t="str">
            <v>AV22 RAPPI EDOMX</v>
          </cell>
          <cell r="AN172"/>
          <cell r="AO172"/>
          <cell r="AP172" t="str">
            <v>10081125</v>
          </cell>
          <cell r="AR172"/>
        </row>
        <row r="173">
          <cell r="A173" t="str">
            <v>220348</v>
          </cell>
          <cell r="B173" t="str">
            <v>JUAREZ LUVIANO ABIGAIL</v>
          </cell>
          <cell r="C173" t="str">
            <v>AUXILIAR DE SERVICIOS GENERALES</v>
          </cell>
          <cell r="D173" t="str">
            <v>SERVICIOS GENERALES</v>
          </cell>
          <cell r="E173" t="str">
            <v>AV01020901 RAPPI CUOTA ADMINISTRATIVA</v>
          </cell>
          <cell r="F173" t="str">
            <v>16/01/2024</v>
          </cell>
          <cell r="G173" t="str">
            <v>26/01/2024</v>
          </cell>
          <cell r="H173" t="str">
            <v>BAJA</v>
          </cell>
          <cell r="I173" t="str">
            <v>ABANDONO DE EMPLEO</v>
          </cell>
          <cell r="J173">
            <v>248.93</v>
          </cell>
          <cell r="K173">
            <v>261.17</v>
          </cell>
          <cell r="L173" t="str">
            <v>SEM22</v>
          </cell>
          <cell r="M173" t="str">
            <v>22 SINDICALIZADO RAPPI</v>
          </cell>
          <cell r="N173" t="str">
            <v>12/08/1992</v>
          </cell>
          <cell r="O173" t="str">
            <v>JULA920812GF2</v>
          </cell>
          <cell r="P173" t="str">
            <v>JULA920812MMCRVB04</v>
          </cell>
          <cell r="Q173" t="str">
            <v>92119298377</v>
          </cell>
          <cell r="R173" t="str">
            <v>CDA JUAREZ</v>
          </cell>
          <cell r="S173" t="str">
            <v>5</v>
          </cell>
          <cell r="T173"/>
          <cell r="U173" t="str">
            <v>SAN MATEO IXTACALCO</v>
          </cell>
          <cell r="V173"/>
          <cell r="W173" t="str">
            <v>MEXICO</v>
          </cell>
          <cell r="X173">
            <v>54840</v>
          </cell>
          <cell r="Y173" t="str">
            <v>5519872783</v>
          </cell>
          <cell r="Z173"/>
          <cell r="AA173" t="str">
            <v>M</v>
          </cell>
          <cell r="AB173" t="str">
            <v>56840053241</v>
          </cell>
          <cell r="AC173" t="str">
            <v>PERMANENTE</v>
          </cell>
          <cell r="AD173" t="str">
            <v>QUERETARO</v>
          </cell>
          <cell r="AE173" t="str">
            <v>SOLTERO(A)</v>
          </cell>
          <cell r="AF173" t="str">
            <v>SECUNDARIA</v>
          </cell>
          <cell r="AG173" t="str">
            <v>(OMISION)</v>
          </cell>
          <cell r="AH173"/>
          <cell r="AI173"/>
          <cell r="AJ173" t="str">
            <v>abramairaby92@gmail.com</v>
          </cell>
          <cell r="AK173" t="str">
            <v>COSTO VARIABLE</v>
          </cell>
          <cell r="AL173" t="str">
            <v>AVIOR CAL</v>
          </cell>
          <cell r="AM173" t="str">
            <v>AV22 RAPPI EDOMX</v>
          </cell>
          <cell r="AN173"/>
          <cell r="AO173"/>
          <cell r="AP173" t="str">
            <v>10047129</v>
          </cell>
          <cell r="AR173"/>
        </row>
        <row r="174">
          <cell r="A174" t="str">
            <v>220349</v>
          </cell>
          <cell r="B174" t="str">
            <v>MARTINEZ CRISTOBAL RICARDO</v>
          </cell>
          <cell r="C174" t="str">
            <v>CONTADOR CICLICO</v>
          </cell>
          <cell r="D174" t="str">
            <v>PLANEACION Y LOGISTICA</v>
          </cell>
          <cell r="E174" t="str">
            <v>AV01020901 RAPPI CUOTA ADMINISTRATIVA</v>
          </cell>
          <cell r="F174" t="str">
            <v>17/01/2024</v>
          </cell>
          <cell r="G174" t="str">
            <v>18/01/2024</v>
          </cell>
          <cell r="H174" t="str">
            <v>BAJA</v>
          </cell>
          <cell r="I174" t="str">
            <v>ABANDONO DE EMPLEO</v>
          </cell>
          <cell r="J174">
            <v>253.21</v>
          </cell>
          <cell r="K174">
            <v>265.66000000000003</v>
          </cell>
          <cell r="L174" t="str">
            <v>SEM22</v>
          </cell>
          <cell r="M174" t="str">
            <v>22 CONFIANZA RAPPI</v>
          </cell>
          <cell r="N174" t="str">
            <v>01/09/1973</v>
          </cell>
          <cell r="O174" t="str">
            <v>MACR730901SI3</v>
          </cell>
          <cell r="P174" t="str">
            <v>MACR730901HMCRRC07</v>
          </cell>
          <cell r="Q174" t="str">
            <v>92907378191</v>
          </cell>
          <cell r="R174" t="str">
            <v>FRANCISCO I. MADERO</v>
          </cell>
          <cell r="S174" t="str">
            <v>S/N</v>
          </cell>
          <cell r="T174"/>
          <cell r="U174" t="str">
            <v>LA CABECERA</v>
          </cell>
          <cell r="V174"/>
          <cell r="W174" t="str">
            <v>MEXICO</v>
          </cell>
          <cell r="X174">
            <v>54660</v>
          </cell>
          <cell r="Y174" t="str">
            <v>5510662747</v>
          </cell>
          <cell r="Z174"/>
          <cell r="AA174" t="str">
            <v>H</v>
          </cell>
          <cell r="AB174" t="str">
            <v>56883211923</v>
          </cell>
          <cell r="AC174" t="str">
            <v>PERMANENTE</v>
          </cell>
          <cell r="AD174" t="str">
            <v>QUERETARO</v>
          </cell>
          <cell r="AE174" t="str">
            <v>CASADO(A)</v>
          </cell>
          <cell r="AF174" t="str">
            <v>BACHILLERATO</v>
          </cell>
          <cell r="AG174" t="str">
            <v>(OMISION)</v>
          </cell>
          <cell r="AH174"/>
          <cell r="AI174"/>
          <cell r="AJ174" t="str">
            <v>richards7391@gmail.com</v>
          </cell>
          <cell r="AK174" t="str">
            <v>COSTO VARIABLE</v>
          </cell>
          <cell r="AL174" t="str">
            <v>AVIOR CAL</v>
          </cell>
          <cell r="AM174" t="str">
            <v>AV22 RAPPI EDOMX</v>
          </cell>
          <cell r="AN174"/>
          <cell r="AO174"/>
          <cell r="AP174" t="str">
            <v>10081197</v>
          </cell>
          <cell r="AR174"/>
        </row>
        <row r="175">
          <cell r="A175" t="str">
            <v>220350</v>
          </cell>
          <cell r="B175" t="str">
            <v>ZAVALA LEDEZMA MARIA DELIA</v>
          </cell>
          <cell r="C175" t="str">
            <v>AUXILIAR DE SERVICIOS GENERALES</v>
          </cell>
          <cell r="D175" t="str">
            <v>SERVICIOS GENERALES</v>
          </cell>
          <cell r="E175" t="str">
            <v>AV01020901 RAPPI CUOTA ADMINISTRATIVA</v>
          </cell>
          <cell r="F175" t="str">
            <v>17/01/2024</v>
          </cell>
          <cell r="G175" t="str">
            <v>18/01/2024</v>
          </cell>
          <cell r="H175" t="str">
            <v>BAJA</v>
          </cell>
          <cell r="I175" t="str">
            <v>ABANDONO DE EMPLEO</v>
          </cell>
          <cell r="J175">
            <v>248.93</v>
          </cell>
          <cell r="K175">
            <v>261.17</v>
          </cell>
          <cell r="L175" t="str">
            <v>SEM22</v>
          </cell>
          <cell r="M175" t="str">
            <v>22 SINDICALIZADO RAPPI</v>
          </cell>
          <cell r="N175" t="str">
            <v>30/03/1987</v>
          </cell>
          <cell r="O175" t="str">
            <v>ZALD870330HQ6</v>
          </cell>
          <cell r="P175" t="str">
            <v>ZALD870330MMCVDL08</v>
          </cell>
          <cell r="Q175" t="str">
            <v>92058717734</v>
          </cell>
          <cell r="R175" t="str">
            <v>PROL 5 DE MAYO</v>
          </cell>
          <cell r="S175" t="str">
            <v>S/N</v>
          </cell>
          <cell r="T175"/>
          <cell r="U175" t="str">
            <v>MELCHOR OCAMPO</v>
          </cell>
          <cell r="V175"/>
          <cell r="W175" t="str">
            <v>MEXICO</v>
          </cell>
          <cell r="X175">
            <v>54880</v>
          </cell>
          <cell r="Y175" t="str">
            <v>5563390104</v>
          </cell>
          <cell r="Z175"/>
          <cell r="AA175" t="str">
            <v>M</v>
          </cell>
          <cell r="AB175" t="str">
            <v>56883176156</v>
          </cell>
          <cell r="AC175" t="str">
            <v>PERMANENTE</v>
          </cell>
          <cell r="AD175" t="str">
            <v>MEXICO</v>
          </cell>
          <cell r="AE175" t="str">
            <v>SOLTERO(A)</v>
          </cell>
          <cell r="AF175" t="str">
            <v>SECUNDARIA</v>
          </cell>
          <cell r="AG175" t="str">
            <v>(OMISION)</v>
          </cell>
          <cell r="AH175"/>
          <cell r="AI175"/>
          <cell r="AJ175" t="str">
            <v>zavalaledezmamariadelia@gmail.com</v>
          </cell>
          <cell r="AK175" t="str">
            <v>COSTO VARIABLE</v>
          </cell>
          <cell r="AL175" t="str">
            <v>AVIOR CAL</v>
          </cell>
          <cell r="AM175" t="str">
            <v>AV22 RAPPI EDOMX</v>
          </cell>
          <cell r="AN175"/>
          <cell r="AO175"/>
          <cell r="AP175" t="str">
            <v>10081190</v>
          </cell>
          <cell r="AR175"/>
        </row>
        <row r="176">
          <cell r="A176" t="str">
            <v>220351</v>
          </cell>
          <cell r="B176" t="str">
            <v>ARANDA PALLARES ERNESTO</v>
          </cell>
          <cell r="C176" t="str">
            <v>AUXILIAR DE SERVICIOS GENERALES</v>
          </cell>
          <cell r="D176" t="str">
            <v>SERVICIOS GENERALES</v>
          </cell>
          <cell r="E176" t="str">
            <v>AV01020901 RAPPI CUOTA ADMINISTRATIVA</v>
          </cell>
          <cell r="F176" t="str">
            <v>24/01/2024</v>
          </cell>
          <cell r="G176"/>
          <cell r="H176" t="str">
            <v>ALTA</v>
          </cell>
          <cell r="I176" t="str">
            <v>CONTRATACION</v>
          </cell>
          <cell r="J176">
            <v>248.93</v>
          </cell>
          <cell r="K176">
            <v>261.17</v>
          </cell>
          <cell r="L176" t="str">
            <v>SEM22</v>
          </cell>
          <cell r="M176" t="str">
            <v>22 SINDICALIZADO RAPPI</v>
          </cell>
          <cell r="N176" t="str">
            <v>14/04/2001</v>
          </cell>
          <cell r="O176" t="str">
            <v>AAPE010414D45</v>
          </cell>
          <cell r="P176" t="str">
            <v>AAPE010414HMCRLRA1</v>
          </cell>
          <cell r="Q176" t="str">
            <v>08130127502</v>
          </cell>
          <cell r="R176" t="str">
            <v>VALLE DE ZITACUARO</v>
          </cell>
          <cell r="S176"/>
          <cell r="T176"/>
          <cell r="U176" t="str">
            <v>COFRADIA 2 SAN MIGUEL</v>
          </cell>
          <cell r="V176"/>
          <cell r="W176" t="str">
            <v>MEXICO</v>
          </cell>
          <cell r="X176">
            <v>54715</v>
          </cell>
          <cell r="Y176" t="str">
            <v>5622166036</v>
          </cell>
          <cell r="Z176"/>
          <cell r="AA176" t="str">
            <v>H</v>
          </cell>
          <cell r="AB176" t="str">
            <v>56883982847</v>
          </cell>
          <cell r="AC176" t="str">
            <v>PERMANENTE</v>
          </cell>
          <cell r="AD176" t="str">
            <v>QUERETARO</v>
          </cell>
          <cell r="AE176" t="str">
            <v>SOLTERO(A)</v>
          </cell>
          <cell r="AF176" t="str">
            <v>BACHILLERATO</v>
          </cell>
          <cell r="AG176" t="str">
            <v>(OMISION)</v>
          </cell>
          <cell r="AH176"/>
          <cell r="AI176"/>
          <cell r="AJ176" t="str">
            <v>ernestoap70@gmail.com</v>
          </cell>
          <cell r="AK176" t="str">
            <v>COSTO VARIABLE</v>
          </cell>
          <cell r="AL176" t="str">
            <v>AVIOR CAL</v>
          </cell>
          <cell r="AM176" t="str">
            <v>AV22 RAPPI EDOMX</v>
          </cell>
          <cell r="AN176"/>
          <cell r="AO176"/>
          <cell r="AP176" t="str">
            <v>10081442</v>
          </cell>
          <cell r="AR176"/>
        </row>
        <row r="177">
          <cell r="A177" t="str">
            <v>220352</v>
          </cell>
          <cell r="B177" t="str">
            <v>BEJARANO MERCADO MICHELL RISTO</v>
          </cell>
          <cell r="C177" t="str">
            <v>AUXILIAR DE SERVICIOS GENERALES</v>
          </cell>
          <cell r="D177" t="str">
            <v>SERVICIOS GENERALES</v>
          </cell>
          <cell r="E177" t="str">
            <v>AV01020901 RAPPI CUOTA ADMINISTRATIVA</v>
          </cell>
          <cell r="F177" t="str">
            <v>24/01/2024</v>
          </cell>
          <cell r="G177"/>
          <cell r="H177" t="str">
            <v>ALTA</v>
          </cell>
          <cell r="I177" t="str">
            <v>CONTRATACION</v>
          </cell>
          <cell r="J177">
            <v>248.93</v>
          </cell>
          <cell r="K177">
            <v>261.17</v>
          </cell>
          <cell r="L177" t="str">
            <v>SEM22</v>
          </cell>
          <cell r="M177" t="str">
            <v>22 SINDICALIZADO RAPPI</v>
          </cell>
          <cell r="N177" t="str">
            <v>14/10/1996</v>
          </cell>
          <cell r="O177" t="str">
            <v>BEMM961014EK0</v>
          </cell>
          <cell r="P177" t="str">
            <v>BEMM961014HMCJRC05</v>
          </cell>
          <cell r="Q177" t="str">
            <v>19149616955</v>
          </cell>
          <cell r="R177" t="str">
            <v>CDA CHAPULTEPEC 3</v>
          </cell>
          <cell r="S177"/>
          <cell r="T177"/>
          <cell r="U177" t="str">
            <v>BARR SAN FRANCISCO</v>
          </cell>
          <cell r="V177"/>
          <cell r="W177" t="str">
            <v>MEXICO</v>
          </cell>
          <cell r="X177">
            <v>54666</v>
          </cell>
          <cell r="Y177" t="str">
            <v>7296449428</v>
          </cell>
          <cell r="Z177"/>
          <cell r="AA177" t="str">
            <v>H</v>
          </cell>
          <cell r="AB177" t="str">
            <v>56882009547</v>
          </cell>
          <cell r="AC177" t="str">
            <v>PERMANENTE</v>
          </cell>
          <cell r="AD177" t="str">
            <v>QUERETARO</v>
          </cell>
          <cell r="AE177" t="str">
            <v>UNION LIBRE</v>
          </cell>
          <cell r="AF177" t="str">
            <v>SECUNDARIA</v>
          </cell>
          <cell r="AG177" t="str">
            <v>(OMISION)</v>
          </cell>
          <cell r="AH177"/>
          <cell r="AI177"/>
          <cell r="AJ177" t="str">
            <v>michellb567@gmail.com</v>
          </cell>
          <cell r="AK177" t="str">
            <v>COSTO VARIABLE</v>
          </cell>
          <cell r="AL177" t="str">
            <v>AVIOR CAL</v>
          </cell>
          <cell r="AM177" t="str">
            <v>AV22 RAPPI EDOMX</v>
          </cell>
          <cell r="AN177"/>
          <cell r="AO177"/>
          <cell r="AP177" t="str">
            <v>10081438</v>
          </cell>
          <cell r="AR177"/>
        </row>
        <row r="178">
          <cell r="A178" t="str">
            <v>220353</v>
          </cell>
          <cell r="B178" t="str">
            <v>MENDEZ TALAMANTES RICARDO ARMANDO</v>
          </cell>
          <cell r="C178" t="str">
            <v>AUXILIAR DE SERVICIOS GENERALES</v>
          </cell>
          <cell r="D178" t="str">
            <v>SERVICIOS GENERALES</v>
          </cell>
          <cell r="E178" t="str">
            <v>AV01020901 RAPPI CUOTA ADMINISTRATIVA</v>
          </cell>
          <cell r="F178" t="str">
            <v>24/01/2024</v>
          </cell>
          <cell r="G178"/>
          <cell r="H178" t="str">
            <v>ALTA</v>
          </cell>
          <cell r="I178" t="str">
            <v>CONTRATACION</v>
          </cell>
          <cell r="J178">
            <v>248.93</v>
          </cell>
          <cell r="K178">
            <v>261.17</v>
          </cell>
          <cell r="L178" t="str">
            <v>SEM22</v>
          </cell>
          <cell r="M178" t="str">
            <v>22 SINDICALIZADO RAPPI</v>
          </cell>
          <cell r="N178" t="str">
            <v>11/02/1992</v>
          </cell>
          <cell r="O178" t="str">
            <v>METR920211RI7</v>
          </cell>
          <cell r="P178" t="str">
            <v>METR920211HDFNLC01</v>
          </cell>
          <cell r="Q178" t="str">
            <v>92109231198</v>
          </cell>
          <cell r="R178" t="str">
            <v>AV ZUMPANGO</v>
          </cell>
          <cell r="S178" t="str">
            <v>48</v>
          </cell>
          <cell r="T178"/>
          <cell r="U178" t="str">
            <v>BARRIO SANTIAGO</v>
          </cell>
          <cell r="V178"/>
          <cell r="W178" t="str">
            <v>MEXICO</v>
          </cell>
          <cell r="X178">
            <v>54770</v>
          </cell>
          <cell r="Y178" t="str">
            <v>5637958332</v>
          </cell>
          <cell r="Z178"/>
          <cell r="AA178" t="str">
            <v>H</v>
          </cell>
          <cell r="AB178" t="str">
            <v>56883975850</v>
          </cell>
          <cell r="AC178" t="str">
            <v>PERMANENTE</v>
          </cell>
          <cell r="AD178" t="str">
            <v>QUERETARO</v>
          </cell>
          <cell r="AE178" t="str">
            <v>UNION LIBRE</v>
          </cell>
          <cell r="AF178" t="str">
            <v>BACHILLERATO</v>
          </cell>
          <cell r="AG178" t="str">
            <v>(OMISION)</v>
          </cell>
          <cell r="AH178"/>
          <cell r="AI178"/>
          <cell r="AJ178" t="str">
            <v>acre3974@gmail.com</v>
          </cell>
          <cell r="AK178" t="str">
            <v>COSTO VARIABLE</v>
          </cell>
          <cell r="AL178" t="str">
            <v>AVIOR CAL</v>
          </cell>
          <cell r="AM178" t="str">
            <v>AV22 RAPPI EDOMX</v>
          </cell>
          <cell r="AN178"/>
          <cell r="AO178"/>
          <cell r="AP178" t="str">
            <v>10081440</v>
          </cell>
          <cell r="AR178"/>
        </row>
        <row r="179">
          <cell r="A179" t="str">
            <v>220354</v>
          </cell>
          <cell r="B179" t="str">
            <v>ALBERTO MARTINEZ FABIOLA</v>
          </cell>
          <cell r="C179" t="str">
            <v>AUXILIAR DE SERVICIOS GENERALES</v>
          </cell>
          <cell r="D179" t="str">
            <v>SERVICIOS GENERALES</v>
          </cell>
          <cell r="E179" t="str">
            <v>AV01020901 RAPPI CUOTA ADMINISTRATIVA</v>
          </cell>
          <cell r="F179" t="str">
            <v>25/01/2024</v>
          </cell>
          <cell r="G179" t="str">
            <v>02/02/2024</v>
          </cell>
          <cell r="H179" t="str">
            <v>BAJA</v>
          </cell>
          <cell r="I179" t="str">
            <v>ABANDONO DE EMPLEO</v>
          </cell>
          <cell r="J179">
            <v>248.93</v>
          </cell>
          <cell r="K179">
            <v>261.17</v>
          </cell>
          <cell r="L179" t="str">
            <v>SEM22</v>
          </cell>
          <cell r="M179" t="str">
            <v>22 SINDICALIZADO RAPPI</v>
          </cell>
          <cell r="N179" t="str">
            <v>20/01/1983</v>
          </cell>
          <cell r="O179" t="str">
            <v>AEMF8301205H7</v>
          </cell>
          <cell r="P179" t="str">
            <v>AEMF830120MMCLRB01</v>
          </cell>
          <cell r="Q179" t="str">
            <v>92078313159</v>
          </cell>
          <cell r="R179" t="str">
            <v>JIMENEZ CANTU</v>
          </cell>
          <cell r="S179" t="str">
            <v>SN</v>
          </cell>
          <cell r="T179"/>
          <cell r="U179" t="str">
            <v>MELCHOR OCAMPO CENTRO</v>
          </cell>
          <cell r="V179"/>
          <cell r="W179" t="str">
            <v>MEXICO</v>
          </cell>
          <cell r="X179">
            <v>54880</v>
          </cell>
          <cell r="Y179" t="str">
            <v>5545911287</v>
          </cell>
          <cell r="Z179"/>
          <cell r="AA179" t="str">
            <v>M</v>
          </cell>
          <cell r="AB179" t="str">
            <v>56884134388</v>
          </cell>
          <cell r="AC179" t="str">
            <v>PERMANENTE</v>
          </cell>
          <cell r="AD179" t="str">
            <v>QUERETARO</v>
          </cell>
          <cell r="AE179" t="str">
            <v>SOLTERO(A)</v>
          </cell>
          <cell r="AF179" t="str">
            <v>SECUNDARIA</v>
          </cell>
          <cell r="AG179" t="str">
            <v>(OMISION)</v>
          </cell>
          <cell r="AH179"/>
          <cell r="AI179"/>
          <cell r="AJ179" t="str">
            <v>fabiola.martinez.alberto@gmail.com</v>
          </cell>
          <cell r="AK179" t="str">
            <v>COSTO VARIABLE</v>
          </cell>
          <cell r="AL179" t="str">
            <v>AVIOR CAL</v>
          </cell>
          <cell r="AM179" t="str">
            <v>AV22 RAPPI EDOMX</v>
          </cell>
          <cell r="AN179"/>
          <cell r="AO179"/>
          <cell r="AP179" t="str">
            <v>10081481</v>
          </cell>
          <cell r="AR179"/>
        </row>
        <row r="180">
          <cell r="A180" t="str">
            <v>220355</v>
          </cell>
          <cell r="B180" t="str">
            <v>ESPINOSA MORALES JUAN CARLOS</v>
          </cell>
          <cell r="C180" t="str">
            <v>AUXILIAR DE SERVICIOS GENERALES</v>
          </cell>
          <cell r="D180" t="str">
            <v>SERVICIOS GENERALES</v>
          </cell>
          <cell r="E180" t="str">
            <v>AV01020901 RAPPI CUOTA ADMINISTRATIVA</v>
          </cell>
          <cell r="F180" t="str">
            <v>25/01/2024</v>
          </cell>
          <cell r="G180"/>
          <cell r="H180" t="str">
            <v>ALTA</v>
          </cell>
          <cell r="I180" t="str">
            <v>CONTRATACION</v>
          </cell>
          <cell r="J180">
            <v>248.93</v>
          </cell>
          <cell r="K180">
            <v>261.17</v>
          </cell>
          <cell r="L180" t="str">
            <v>SEM22</v>
          </cell>
          <cell r="M180" t="str">
            <v>22 SINDICALIZADO RAPPI</v>
          </cell>
          <cell r="N180" t="str">
            <v>12/09/1983</v>
          </cell>
          <cell r="O180" t="str">
            <v>EIMJ830912BX6</v>
          </cell>
          <cell r="P180" t="str">
            <v>EIMJ830912HMCSRN09</v>
          </cell>
          <cell r="Q180" t="str">
            <v>92018322195</v>
          </cell>
          <cell r="R180" t="str">
            <v>MIRA FLORES</v>
          </cell>
          <cell r="S180" t="str">
            <v>NO9</v>
          </cell>
          <cell r="T180"/>
          <cell r="U180" t="str">
            <v>SAN MATEO IXTACALCO</v>
          </cell>
          <cell r="V180"/>
          <cell r="W180" t="str">
            <v>MEXICO</v>
          </cell>
          <cell r="X180">
            <v>54860</v>
          </cell>
          <cell r="Y180" t="str">
            <v>5532261767</v>
          </cell>
          <cell r="Z180"/>
          <cell r="AA180" t="str">
            <v>H</v>
          </cell>
          <cell r="AB180" t="str">
            <v>56884008304</v>
          </cell>
          <cell r="AC180" t="str">
            <v>PERMANENTE</v>
          </cell>
          <cell r="AD180" t="str">
            <v>QUERETARO</v>
          </cell>
          <cell r="AE180" t="str">
            <v>SOLTERO(A)</v>
          </cell>
          <cell r="AF180" t="str">
            <v>SECUNDARIA</v>
          </cell>
          <cell r="AG180" t="str">
            <v>(OMISION)</v>
          </cell>
          <cell r="AH180"/>
          <cell r="AI180"/>
          <cell r="AJ180" t="str">
            <v>peaso2812@hotmail.com</v>
          </cell>
          <cell r="AK180" t="str">
            <v>COSTO VARIABLE</v>
          </cell>
          <cell r="AL180" t="str">
            <v>AVIOR CAL</v>
          </cell>
          <cell r="AM180" t="str">
            <v>AV22 RAPPI EDOMX</v>
          </cell>
          <cell r="AN180"/>
          <cell r="AO180"/>
          <cell r="AP180" t="str">
            <v>10081445</v>
          </cell>
          <cell r="AR180"/>
        </row>
        <row r="181">
          <cell r="A181" t="str">
            <v>220356</v>
          </cell>
          <cell r="B181" t="str">
            <v>SANCHEZ PATIÑO FATIMA</v>
          </cell>
          <cell r="C181" t="str">
            <v>AUXILIAR DE SERVICIOS GENERALES</v>
          </cell>
          <cell r="D181" t="str">
            <v>SERVICIOS GENERALES</v>
          </cell>
          <cell r="E181" t="str">
            <v>AV01020901 RAPPI CUOTA ADMINISTRATIVA</v>
          </cell>
          <cell r="F181" t="str">
            <v>25/01/2024</v>
          </cell>
          <cell r="G181"/>
          <cell r="H181" t="str">
            <v>ALTA</v>
          </cell>
          <cell r="I181" t="str">
            <v>CONTRATACION</v>
          </cell>
          <cell r="J181">
            <v>248.93</v>
          </cell>
          <cell r="K181">
            <v>261.17</v>
          </cell>
          <cell r="L181" t="str">
            <v>SEM22</v>
          </cell>
          <cell r="M181" t="str">
            <v>22 SINDICALIZADO RAPPI</v>
          </cell>
          <cell r="N181" t="str">
            <v>24/09/2003</v>
          </cell>
          <cell r="O181" t="str">
            <v>SAPF030924687</v>
          </cell>
          <cell r="P181" t="str">
            <v>SAPF030924MMCNTTA6</v>
          </cell>
          <cell r="Q181" t="str">
            <v>17230389375</v>
          </cell>
          <cell r="R181" t="str">
            <v>AV 5 DE MAYO</v>
          </cell>
          <cell r="S181" t="str">
            <v>9</v>
          </cell>
          <cell r="T181"/>
          <cell r="U181" t="str">
            <v>PBLO SAN MATEO IXTACALCO</v>
          </cell>
          <cell r="V181"/>
          <cell r="W181" t="str">
            <v>MEXICO</v>
          </cell>
          <cell r="X181">
            <v>54840</v>
          </cell>
          <cell r="Y181" t="str">
            <v>805248043</v>
          </cell>
          <cell r="Z181"/>
          <cell r="AA181" t="str">
            <v>M</v>
          </cell>
          <cell r="AB181" t="str">
            <v>56884151626</v>
          </cell>
          <cell r="AC181" t="str">
            <v>PERMANENTE</v>
          </cell>
          <cell r="AD181" t="str">
            <v>QUERETARO</v>
          </cell>
          <cell r="AE181" t="str">
            <v>SOLTERO(A)</v>
          </cell>
          <cell r="AF181" t="str">
            <v>BACHILLERATO</v>
          </cell>
          <cell r="AG181" t="str">
            <v>(OMISION)</v>
          </cell>
          <cell r="AH181"/>
          <cell r="AI181"/>
          <cell r="AJ181" t="str">
            <v>fatysp24@gmail.com</v>
          </cell>
          <cell r="AK181" t="str">
            <v>COSTO VARIABLE</v>
          </cell>
          <cell r="AL181" t="str">
            <v>AVIOR CAL</v>
          </cell>
          <cell r="AM181" t="str">
            <v>AV22 RAPPI EDOMX</v>
          </cell>
          <cell r="AN181"/>
          <cell r="AO181"/>
          <cell r="AP181" t="str">
            <v>10081484</v>
          </cell>
          <cell r="AR181"/>
        </row>
        <row r="182">
          <cell r="A182" t="str">
            <v>220357</v>
          </cell>
          <cell r="B182" t="str">
            <v>FUENTES LOPEZ BRYAN JAIR</v>
          </cell>
          <cell r="C182" t="str">
            <v>AUXILIAR DE SERVICIOS GENERALES</v>
          </cell>
          <cell r="D182" t="str">
            <v>SERVICIOS GENERALES</v>
          </cell>
          <cell r="E182" t="str">
            <v>AV01020901 RAPPI CUOTA ADMINISTRATIVA</v>
          </cell>
          <cell r="F182" t="str">
            <v>30/01/2024</v>
          </cell>
          <cell r="G182"/>
          <cell r="H182" t="str">
            <v>ALTA</v>
          </cell>
          <cell r="I182" t="str">
            <v>CONTRATACION</v>
          </cell>
          <cell r="J182">
            <v>248.93</v>
          </cell>
          <cell r="K182">
            <v>261.17</v>
          </cell>
          <cell r="L182" t="str">
            <v>SEM22</v>
          </cell>
          <cell r="M182" t="str">
            <v>22 SINDICALIZADO RAPPI</v>
          </cell>
          <cell r="N182" t="str">
            <v>05/01/1998</v>
          </cell>
          <cell r="O182" t="str">
            <v>FULB980105E36</v>
          </cell>
          <cell r="P182" t="str">
            <v>FULB980105HMCNPR01</v>
          </cell>
          <cell r="Q182" t="str">
            <v>75169897586</v>
          </cell>
          <cell r="R182" t="str">
            <v>CDA SARABIA</v>
          </cell>
          <cell r="S182" t="str">
            <v>67</v>
          </cell>
          <cell r="T182"/>
          <cell r="U182" t="str">
            <v>EL MIRADOR</v>
          </cell>
          <cell r="V182"/>
          <cell r="W182" t="str">
            <v>MEXICO</v>
          </cell>
          <cell r="X182">
            <v>54697</v>
          </cell>
          <cell r="Y182" t="str">
            <v>5578763176</v>
          </cell>
          <cell r="Z182"/>
          <cell r="AA182" t="str">
            <v>H</v>
          </cell>
          <cell r="AB182" t="str">
            <v>56884148096</v>
          </cell>
          <cell r="AC182" t="str">
            <v>PERMANENTE</v>
          </cell>
          <cell r="AD182" t="str">
            <v>QUERETARO</v>
          </cell>
          <cell r="AE182" t="str">
            <v>SOLTERO(A)</v>
          </cell>
          <cell r="AF182" t="str">
            <v>SECUNDARIA</v>
          </cell>
          <cell r="AG182" t="str">
            <v>(OMISION)</v>
          </cell>
          <cell r="AH182"/>
          <cell r="AI182"/>
          <cell r="AJ182" t="str">
            <v>colnifuentes@gmail.com</v>
          </cell>
          <cell r="AK182" t="str">
            <v>COSTO VARIABLE</v>
          </cell>
          <cell r="AL182" t="str">
            <v>AVIOR CAL</v>
          </cell>
          <cell r="AM182" t="str">
            <v>AV22 RAPPI EDOMX</v>
          </cell>
          <cell r="AN182"/>
          <cell r="AO182"/>
          <cell r="AP182" t="str">
            <v>10081553</v>
          </cell>
          <cell r="AR182"/>
        </row>
        <row r="183">
          <cell r="A183" t="str">
            <v>220358</v>
          </cell>
          <cell r="B183" t="str">
            <v>LEON HERRERA OSWALDO ALONSO</v>
          </cell>
          <cell r="C183" t="str">
            <v>AUXILIAR DE SERVICIOS GENERALES</v>
          </cell>
          <cell r="D183" t="str">
            <v>SERVICIOS GENERALES</v>
          </cell>
          <cell r="E183" t="str">
            <v>AV01020901 RAPPI CUOTA ADMINISTRATIVA</v>
          </cell>
          <cell r="F183" t="str">
            <v>06/02/2024</v>
          </cell>
          <cell r="G183"/>
          <cell r="H183" t="str">
            <v>REINGRESO</v>
          </cell>
          <cell r="I183" t="str">
            <v>RECONTRATACION</v>
          </cell>
          <cell r="J183">
            <v>248.93</v>
          </cell>
          <cell r="K183">
            <v>261.17</v>
          </cell>
          <cell r="L183" t="str">
            <v>SEM22</v>
          </cell>
          <cell r="M183" t="str">
            <v>22 SINDICALIZADO RAPPI</v>
          </cell>
          <cell r="N183" t="str">
            <v>21/02/1992</v>
          </cell>
          <cell r="O183" t="str">
            <v>LEHO920221J84</v>
          </cell>
          <cell r="P183" t="str">
            <v>LEHO920221HDFNRS03</v>
          </cell>
          <cell r="Q183" t="str">
            <v>92119246632</v>
          </cell>
          <cell r="R183" t="str">
            <v>CALLE13 MZ 45 LT 3 AV 6 Y AV P</v>
          </cell>
          <cell r="S183"/>
          <cell r="T183"/>
          <cell r="U183" t="str">
            <v>RANCHO SAN BLAS</v>
          </cell>
          <cell r="V183"/>
          <cell r="W183" t="str">
            <v>MEXICO</v>
          </cell>
          <cell r="X183">
            <v>54870</v>
          </cell>
          <cell r="Y183" t="str">
            <v>5612197700</v>
          </cell>
          <cell r="Z183"/>
          <cell r="AA183" t="str">
            <v>H</v>
          </cell>
          <cell r="AB183" t="str">
            <v>56884892719</v>
          </cell>
          <cell r="AC183" t="str">
            <v>PERMANENTE</v>
          </cell>
          <cell r="AD183" t="str">
            <v>QUERETARO</v>
          </cell>
          <cell r="AE183" t="str">
            <v>SOLTERO(A)</v>
          </cell>
          <cell r="AF183" t="str">
            <v>BACHILLERATO</v>
          </cell>
          <cell r="AG183" t="str">
            <v>(OMISION)</v>
          </cell>
          <cell r="AH183"/>
          <cell r="AI183"/>
          <cell r="AJ183" t="str">
            <v>oswaldo_a.l.m@hotmail.com</v>
          </cell>
          <cell r="AK183" t="str">
            <v>COSTO VARIABLE</v>
          </cell>
          <cell r="AL183" t="str">
            <v>AVIOR CAL</v>
          </cell>
          <cell r="AM183" t="str">
            <v>AV22 RAPPI EDOMX</v>
          </cell>
          <cell r="AN183"/>
          <cell r="AO183"/>
          <cell r="AP183" t="str">
            <v>10081802</v>
          </cell>
          <cell r="AR183"/>
        </row>
        <row r="184">
          <cell r="A184" t="str">
            <v>220359</v>
          </cell>
          <cell r="B184" t="str">
            <v>MARTINEZ CAÑAS TANIA JUDITH</v>
          </cell>
          <cell r="C184" t="str">
            <v>AUXILIAR DE SERVICIOS GENERALES</v>
          </cell>
          <cell r="D184" t="str">
            <v>SERVICIOS GENERALES</v>
          </cell>
          <cell r="E184" t="str">
            <v>AV01020901 RAPPI CUOTA ADMINISTRATIVA</v>
          </cell>
          <cell r="F184" t="str">
            <v>06/02/2024</v>
          </cell>
          <cell r="G184"/>
          <cell r="H184" t="str">
            <v>ALTA</v>
          </cell>
          <cell r="I184" t="str">
            <v>CONTRATACION</v>
          </cell>
          <cell r="J184">
            <v>248.93</v>
          </cell>
          <cell r="K184">
            <v>261.17</v>
          </cell>
          <cell r="L184" t="str">
            <v>SEM22</v>
          </cell>
          <cell r="M184" t="str">
            <v>22 SINDICALIZADO RAPPI</v>
          </cell>
          <cell r="N184" t="str">
            <v>01/04/2000</v>
          </cell>
          <cell r="O184" t="str">
            <v>MACT000401SH3</v>
          </cell>
          <cell r="P184" t="str">
            <v>MACT000401MMCRXNA2</v>
          </cell>
          <cell r="Q184" t="str">
            <v>04160072544</v>
          </cell>
          <cell r="R184" t="str">
            <v xml:space="preserve">CARR CUAUTITLAN-TEOLOYUCAN KM </v>
          </cell>
          <cell r="S184"/>
          <cell r="T184"/>
          <cell r="U184" t="str">
            <v>SAN SEBASTIAN XHALA</v>
          </cell>
          <cell r="V184"/>
          <cell r="W184" t="str">
            <v>MEXICO</v>
          </cell>
          <cell r="X184">
            <v>54714</v>
          </cell>
          <cell r="Y184" t="str">
            <v>5574343604</v>
          </cell>
          <cell r="Z184"/>
          <cell r="AA184" t="str">
            <v>M</v>
          </cell>
          <cell r="AB184" t="str">
            <v>56884148079</v>
          </cell>
          <cell r="AC184" t="str">
            <v>PERMANENTE</v>
          </cell>
          <cell r="AD184" t="str">
            <v>QUERETARO</v>
          </cell>
          <cell r="AE184" t="str">
            <v>SOLTERO(A)</v>
          </cell>
          <cell r="AF184" t="str">
            <v>BACHILLERATO</v>
          </cell>
          <cell r="AG184" t="str">
            <v>(OMISION)</v>
          </cell>
          <cell r="AH184"/>
          <cell r="AI184"/>
          <cell r="AJ184" t="str">
            <v>taniajudith5@gmail.com</v>
          </cell>
          <cell r="AK184" t="str">
            <v>COSTO VARIABLE</v>
          </cell>
          <cell r="AL184" t="str">
            <v>AVIOR CAL</v>
          </cell>
          <cell r="AM184" t="str">
            <v>AV22 RAPPI EDOMX</v>
          </cell>
          <cell r="AN184"/>
          <cell r="AO184"/>
          <cell r="AP184" t="str">
            <v>10081562</v>
          </cell>
          <cell r="AR184"/>
        </row>
        <row r="185">
          <cell r="A185" t="str">
            <v>250018</v>
          </cell>
          <cell r="B185" t="str">
            <v>JIMENEZ GARCIA JOSE DE JESUS</v>
          </cell>
          <cell r="C185" t="str">
            <v>MONTACARGUISTA</v>
          </cell>
          <cell r="D185" t="str">
            <v>PLANEACION Y LOGISTICA</v>
          </cell>
          <cell r="E185" t="str">
            <v>AV01030503 HISENSE A/C CUOTA ADMINISTRAT</v>
          </cell>
          <cell r="F185" t="str">
            <v>11/01/2024</v>
          </cell>
          <cell r="G185"/>
          <cell r="H185" t="str">
            <v>ALTA</v>
          </cell>
          <cell r="I185" t="str">
            <v>CONTRATACION</v>
          </cell>
          <cell r="J185">
            <v>328.02</v>
          </cell>
          <cell r="K185">
            <v>344.15</v>
          </cell>
          <cell r="L185" t="str">
            <v>SEM25</v>
          </cell>
          <cell r="M185" t="str">
            <v>25 SINDICALI - MULTIC EL PERAL</v>
          </cell>
          <cell r="N185" t="str">
            <v>07/04/1994</v>
          </cell>
          <cell r="O185" t="str">
            <v>JIGJ940407QYA</v>
          </cell>
          <cell r="P185" t="str">
            <v>JIGJ940407HMCMRS05</v>
          </cell>
          <cell r="Q185" t="str">
            <v>92139428426</v>
          </cell>
          <cell r="R185" t="str">
            <v>PLUTON MZ38 LT6 C1</v>
          </cell>
          <cell r="S185"/>
          <cell r="T185"/>
          <cell r="U185" t="str">
            <v>FRACC GALAXIA CUAUTITLAN</v>
          </cell>
          <cell r="V185"/>
          <cell r="W185" t="str">
            <v>MEXICO</v>
          </cell>
          <cell r="X185">
            <v>54840</v>
          </cell>
          <cell r="Y185" t="str">
            <v>5645332909</v>
          </cell>
          <cell r="Z185"/>
          <cell r="AA185" t="str">
            <v>H</v>
          </cell>
          <cell r="AB185" t="str">
            <v>56882714317</v>
          </cell>
          <cell r="AC185" t="str">
            <v>PERMANENTE</v>
          </cell>
          <cell r="AD185" t="str">
            <v>QUERETARO</v>
          </cell>
          <cell r="AE185" t="str">
            <v>SOLTERO(A)</v>
          </cell>
          <cell r="AF185" t="str">
            <v>BACHILLERATO</v>
          </cell>
          <cell r="AG185" t="str">
            <v>(OMISION)</v>
          </cell>
          <cell r="AH185"/>
          <cell r="AI185"/>
          <cell r="AJ185" t="str">
            <v>yisusmorningstar@gmail.com</v>
          </cell>
          <cell r="AK185" t="str">
            <v>COSTO VARIABLE</v>
          </cell>
          <cell r="AL185" t="str">
            <v>AVIOR CAL</v>
          </cell>
          <cell r="AM185" t="str">
            <v>AV25 MULTICUENTAS EL PERAL EDO</v>
          </cell>
          <cell r="AN185"/>
          <cell r="AO185"/>
          <cell r="AP185" t="str">
            <v>10080866</v>
          </cell>
          <cell r="AR185"/>
        </row>
        <row r="186">
          <cell r="A186" t="str">
            <v>250019</v>
          </cell>
          <cell r="B186" t="str">
            <v>ALFARO GALVEZ JUAN ESTEBAN</v>
          </cell>
          <cell r="C186" t="str">
            <v>ANALISTA DE LOGISTICA</v>
          </cell>
          <cell r="D186" t="str">
            <v>PLANEACION Y LOGISTICA</v>
          </cell>
          <cell r="E186" t="str">
            <v>AV01030503 HISENSE A/C CUOTA ADMINISTRAT</v>
          </cell>
          <cell r="F186" t="str">
            <v>15/01/2024</v>
          </cell>
          <cell r="G186"/>
          <cell r="H186" t="str">
            <v>REINGRESO</v>
          </cell>
          <cell r="I186" t="str">
            <v>RECONTRATACION</v>
          </cell>
          <cell r="J186">
            <v>310.52999999999997</v>
          </cell>
          <cell r="K186">
            <v>325.8</v>
          </cell>
          <cell r="L186" t="str">
            <v>SEM25</v>
          </cell>
          <cell r="M186" t="str">
            <v>25 CONFIANZA - MULTIC EL PERAL</v>
          </cell>
          <cell r="N186" t="str">
            <v>08/04/1974</v>
          </cell>
          <cell r="O186" t="str">
            <v>AAGJ740408BQ4</v>
          </cell>
          <cell r="P186" t="str">
            <v>AAGJ740408HMCLLN03</v>
          </cell>
          <cell r="Q186" t="str">
            <v>92947446438</v>
          </cell>
          <cell r="R186" t="str">
            <v>Bosque de tule</v>
          </cell>
          <cell r="S186" t="str">
            <v>13</v>
          </cell>
          <cell r="T186"/>
          <cell r="U186" t="str">
            <v>El bosque de tultepec</v>
          </cell>
          <cell r="V186"/>
          <cell r="W186" t="str">
            <v>MEXICO</v>
          </cell>
          <cell r="X186">
            <v>54981</v>
          </cell>
          <cell r="Y186" t="str">
            <v>5558704596</v>
          </cell>
          <cell r="Z186"/>
          <cell r="AA186" t="str">
            <v>H</v>
          </cell>
          <cell r="AB186" t="str">
            <v>56871484855</v>
          </cell>
          <cell r="AC186" t="str">
            <v>PERMANENTE</v>
          </cell>
          <cell r="AD186" t="str">
            <v>MEXICO</v>
          </cell>
          <cell r="AE186" t="str">
            <v>SOLTERO(A)</v>
          </cell>
          <cell r="AF186" t="str">
            <v>BACHILLERATO</v>
          </cell>
          <cell r="AG186" t="str">
            <v>(OMISION)</v>
          </cell>
          <cell r="AH186"/>
          <cell r="AI186"/>
          <cell r="AJ186" t="str">
            <v>jaalvez@hotmail.com</v>
          </cell>
          <cell r="AK186" t="str">
            <v>COSTO VARIABLE</v>
          </cell>
          <cell r="AL186" t="str">
            <v>AVIOR CAL</v>
          </cell>
          <cell r="AM186" t="str">
            <v>AV25 MULTICUENTAS EL PERAL EDO</v>
          </cell>
          <cell r="AN186"/>
          <cell r="AO186"/>
          <cell r="AP186" t="str">
            <v>10052851</v>
          </cell>
          <cell r="AR186"/>
        </row>
        <row r="187">
          <cell r="A187" t="str">
            <v>250021</v>
          </cell>
          <cell r="B187" t="str">
            <v>JIMENEZ LEYTE ERNESTO</v>
          </cell>
          <cell r="C187" t="str">
            <v>AYUDANTE GENERAL</v>
          </cell>
          <cell r="D187" t="str">
            <v>PLANEACION Y LOGISTICA</v>
          </cell>
          <cell r="E187" t="str">
            <v>AV01030503 HISENSE A/C CUOTA ADMINISTRAT</v>
          </cell>
          <cell r="F187" t="str">
            <v>30/01/2024</v>
          </cell>
          <cell r="G187"/>
          <cell r="H187" t="str">
            <v>ALTA</v>
          </cell>
          <cell r="I187" t="str">
            <v>CONTRATACION</v>
          </cell>
          <cell r="J187">
            <v>248.93</v>
          </cell>
          <cell r="K187">
            <v>261.17</v>
          </cell>
          <cell r="L187" t="str">
            <v>SEM25</v>
          </cell>
          <cell r="M187" t="str">
            <v>25 SINDICALI - MULTIC EL PERAL</v>
          </cell>
          <cell r="N187" t="str">
            <v>06/12/1967</v>
          </cell>
          <cell r="O187" t="str">
            <v>JILE6712062I5</v>
          </cell>
          <cell r="P187" t="str">
            <v>JILE671206HDFMYR02</v>
          </cell>
          <cell r="Q187" t="str">
            <v>42866713458</v>
          </cell>
          <cell r="R187" t="str">
            <v>SANTA ROCIO MZ 12</v>
          </cell>
          <cell r="S187"/>
          <cell r="T187"/>
          <cell r="U187" t="str">
            <v>LA TRINIDAD</v>
          </cell>
          <cell r="V187"/>
          <cell r="W187" t="str">
            <v>MEXICO</v>
          </cell>
          <cell r="X187">
            <v>55614</v>
          </cell>
          <cell r="Y187" t="str">
            <v>5533777094</v>
          </cell>
          <cell r="Z187"/>
          <cell r="AA187" t="str">
            <v>H</v>
          </cell>
          <cell r="AB187" t="str">
            <v>56884507001</v>
          </cell>
          <cell r="AC187" t="str">
            <v>PERMANENTE</v>
          </cell>
          <cell r="AD187" t="str">
            <v>QUERETARO</v>
          </cell>
          <cell r="AE187" t="str">
            <v>CASADO(A)</v>
          </cell>
          <cell r="AF187" t="str">
            <v>SECUNDARIA</v>
          </cell>
          <cell r="AG187" t="str">
            <v>(OMISION)</v>
          </cell>
          <cell r="AH187"/>
          <cell r="AI187"/>
          <cell r="AJ187" t="str">
            <v>jimenezleyteernesto@gmail.com</v>
          </cell>
          <cell r="AK187" t="str">
            <v>COSTO VARIABLE</v>
          </cell>
          <cell r="AL187" t="str">
            <v>AVIOR CAL</v>
          </cell>
          <cell r="AM187" t="str">
            <v>AV25 MULTICUENTAS EL PERAL EDO</v>
          </cell>
          <cell r="AN187"/>
          <cell r="AO187"/>
          <cell r="AP187" t="str">
            <v>10081605</v>
          </cell>
          <cell r="AR187"/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E6E13-0EEC-4A42-A3A1-21A4DFBAB12F}" name="RyS" displayName="RyS" ref="A1:S219" totalsRowShown="0" headerRowDxfId="22" dataDxfId="21" tableBorderDxfId="20">
  <autoFilter ref="A1:S219" xr:uid="{54A29450-EF44-4903-A735-E68B1671D345}"/>
  <tableColumns count="19">
    <tableColumn id="1" xr3:uid="{B48A6AEE-6C3D-4F43-B3C8-F9831A57C73E}" name="# " dataDxfId="19"/>
    <tableColumn id="18" xr3:uid="{EB500DEA-F112-42E9-8AE3-E562961BB5D7}" name="NOM" dataDxfId="18"/>
    <tableColumn id="2" xr3:uid="{C573909D-7B25-42A0-911E-40448476A132}" name="Nombre de Empleado_x000a_(1er apelido + 2do + nombres en Mayusculas)" dataDxfId="17"/>
    <tableColumn id="3" xr3:uid="{393E5234-174D-496A-94E4-244001F6BAE6}" name="PUESTO" dataDxfId="16"/>
    <tableColumn id="4" xr3:uid="{F914C07A-AC15-48E1-87B1-ACF8F9CFEB48}" name="TELEFONO" dataDxfId="15"/>
    <tableColumn id="5" xr3:uid="{FD9E83EE-91FA-4C7E-9BC1-AF9FF2A014C0}" name="FECHA DE ENTREVISTA" dataDxfId="14"/>
    <tableColumn id="6" xr3:uid="{69F9F9A3-FE80-441E-89F4-4DF880E74CCE}" name="TIEMPO DE TRASLADO" dataDxfId="13"/>
    <tableColumn id="7" xr3:uid="{C7D45095-78FE-46A1-8339-A387708443F7}" name="$ COSTO DE TRASLADO_x000a_(diario)" dataDxfId="12"/>
    <tableColumn id="8" xr3:uid="{9EBBE46E-C9C8-4A6E-9552-46B2E47622BB}" name="SOD" dataDxfId="11"/>
    <tableColumn id="9" xr3:uid="{1B611A36-2DE1-41DA-B4F9-62A72403CD7C}" name="FECHA DE ENTREGA EXPEDIENTE" dataDxfId="10"/>
    <tableColumn id="10" xr3:uid="{0D6F7840-DAA5-4278-8D3D-49827041268D}" name="FECHA DE ALTA " dataDxfId="9"/>
    <tableColumn id="11" xr3:uid="{56916A14-578E-43F5-B036-267CB810FC30}" name="FECHA DE INGRESO" dataDxfId="8"/>
    <tableColumn id="12" xr3:uid="{A38B86EE-3383-45E7-809C-52F4EF3483AA}" name="ESTATUS" dataDxfId="7"/>
    <tableColumn id="13" xr3:uid="{5FA3117F-618A-4B2F-AE59-E6E4B28C8DEE}" name="MOTIVO DE RECHAZO" dataDxfId="6"/>
    <tableColumn id="14" xr3:uid="{EAD49C99-C9E8-4B66-9912-A0AB5B1AA99E}" name="MEDIO DE RECLUTAMIENTO" dataDxfId="5"/>
    <tableColumn id="15" xr3:uid="{D912F7D0-2B45-42F2-9C66-A074F8D3443C}" name="CODIGO DE CAMPAÑA_x000a_(avior-sem-año)" dataDxfId="4"/>
    <tableColumn id="16" xr3:uid="{8FE50BCB-2B51-47A6-A327-26F93C178C36}" name="RECLUTADOR" dataDxfId="3"/>
    <tableColumn id="17" xr3:uid="{5D2BD1A2-3C22-4FDC-89A9-C746A65BDD61}" name="ALMACEN" dataDxfId="2"/>
    <tableColumn id="19" xr3:uid="{AA44AC74-D695-4CBF-90FC-274D292345E0}" name="# DE SEMANA" dataDxfId="1">
      <calculatedColumnFormula>WEEKNUM(L2)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D9F3-A511-435A-AEE0-F4D901E7910E}">
  <dimension ref="A1:S219"/>
  <sheetViews>
    <sheetView tabSelected="1" topLeftCell="A92" workbookViewId="0">
      <selection activeCell="A92" sqref="A92"/>
    </sheetView>
  </sheetViews>
  <sheetFormatPr baseColWidth="10" defaultColWidth="14.453125" defaultRowHeight="14.5" x14ac:dyDescent="0.35"/>
  <cols>
    <col min="1" max="1" width="4.26953125" style="1" customWidth="1"/>
    <col min="2" max="2" width="8.81640625" style="1" bestFit="1" customWidth="1"/>
    <col min="3" max="3" width="40.1796875" style="2" bestFit="1" customWidth="1"/>
    <col min="4" max="4" width="31.81640625" style="1" bestFit="1" customWidth="1"/>
    <col min="5" max="5" width="14.453125" style="3"/>
    <col min="6" max="6" width="17.26953125" style="1" customWidth="1"/>
    <col min="7" max="7" width="14.81640625" style="1" customWidth="1"/>
    <col min="8" max="8" width="12" style="1" customWidth="1"/>
    <col min="9" max="11" width="14.453125" style="3"/>
    <col min="12" max="12" width="16.453125" style="3" bestFit="1" customWidth="1"/>
    <col min="13" max="13" width="21.54296875" style="1" customWidth="1"/>
    <col min="14" max="14" width="19" style="1" customWidth="1"/>
    <col min="15" max="15" width="17" style="1" customWidth="1"/>
    <col min="16" max="16" width="16.7265625" style="1" customWidth="1"/>
    <col min="17" max="17" width="24.7265625" style="1" customWidth="1"/>
    <col min="18" max="18" width="31.1796875" style="2" bestFit="1" customWidth="1"/>
    <col min="19" max="16384" width="14.453125" style="1"/>
  </cols>
  <sheetData>
    <row r="1" spans="1:19" s="40" customFormat="1" ht="39.5" x14ac:dyDescent="0.35">
      <c r="A1" s="44" t="s">
        <v>499</v>
      </c>
      <c r="B1" s="44" t="s">
        <v>498</v>
      </c>
      <c r="C1" s="44" t="s">
        <v>497</v>
      </c>
      <c r="D1" s="44" t="s">
        <v>496</v>
      </c>
      <c r="E1" s="44" t="s">
        <v>495</v>
      </c>
      <c r="F1" s="45" t="s">
        <v>494</v>
      </c>
      <c r="G1" s="44" t="s">
        <v>493</v>
      </c>
      <c r="H1" s="44" t="s">
        <v>492</v>
      </c>
      <c r="I1" s="44" t="s">
        <v>491</v>
      </c>
      <c r="J1" s="46" t="s">
        <v>490</v>
      </c>
      <c r="K1" s="45" t="s">
        <v>489</v>
      </c>
      <c r="L1" s="45" t="s">
        <v>488</v>
      </c>
      <c r="M1" s="44" t="s">
        <v>487</v>
      </c>
      <c r="N1" s="44" t="s">
        <v>486</v>
      </c>
      <c r="O1" s="43" t="s">
        <v>485</v>
      </c>
      <c r="P1" s="42" t="s">
        <v>484</v>
      </c>
      <c r="Q1" s="42" t="s">
        <v>483</v>
      </c>
      <c r="R1" s="42" t="s">
        <v>482</v>
      </c>
      <c r="S1" s="41" t="s">
        <v>481</v>
      </c>
    </row>
    <row r="2" spans="1:19" x14ac:dyDescent="0.35">
      <c r="A2" s="22">
        <v>1</v>
      </c>
      <c r="B2" s="22" t="s">
        <v>480</v>
      </c>
      <c r="C2" s="24" t="s">
        <v>479</v>
      </c>
      <c r="D2" s="14" t="s">
        <v>276</v>
      </c>
      <c r="E2" s="20" t="s">
        <v>478</v>
      </c>
      <c r="F2" s="9">
        <v>45293</v>
      </c>
      <c r="G2" s="19"/>
      <c r="H2" s="38"/>
      <c r="I2" s="8"/>
      <c r="J2" s="9"/>
      <c r="K2" s="9"/>
      <c r="L2" s="9">
        <v>45294</v>
      </c>
      <c r="M2" s="8" t="s">
        <v>1</v>
      </c>
      <c r="N2" s="8"/>
      <c r="O2" s="8" t="s">
        <v>379</v>
      </c>
      <c r="P2" s="39"/>
      <c r="Q2" s="8" t="s">
        <v>389</v>
      </c>
      <c r="R2" s="5" t="s">
        <v>27</v>
      </c>
      <c r="S2" s="4">
        <f>WEEKNUM(L2)</f>
        <v>1</v>
      </c>
    </row>
    <row r="3" spans="1:19" x14ac:dyDescent="0.35">
      <c r="A3" s="22">
        <v>2</v>
      </c>
      <c r="B3" s="22"/>
      <c r="C3" s="24" t="s">
        <v>477</v>
      </c>
      <c r="D3" s="14" t="s">
        <v>292</v>
      </c>
      <c r="E3" s="20" t="s">
        <v>476</v>
      </c>
      <c r="F3" s="9">
        <v>45293</v>
      </c>
      <c r="G3" s="19"/>
      <c r="H3" s="38"/>
      <c r="I3" s="8"/>
      <c r="J3" s="9"/>
      <c r="K3" s="9"/>
      <c r="L3" s="9"/>
      <c r="M3" s="31" t="s">
        <v>335</v>
      </c>
      <c r="N3" s="8"/>
      <c r="O3" s="8" t="s">
        <v>274</v>
      </c>
      <c r="P3" s="39">
        <v>45282</v>
      </c>
      <c r="Q3" s="8" t="s">
        <v>389</v>
      </c>
      <c r="R3" s="5"/>
      <c r="S3" s="4">
        <f>WEEKNUM(L3)</f>
        <v>0</v>
      </c>
    </row>
    <row r="4" spans="1:19" x14ac:dyDescent="0.35">
      <c r="A4" s="22">
        <v>3</v>
      </c>
      <c r="B4" s="22"/>
      <c r="C4" s="24" t="s">
        <v>475</v>
      </c>
      <c r="D4" s="14" t="s">
        <v>474</v>
      </c>
      <c r="E4" s="20">
        <v>5525431313</v>
      </c>
      <c r="F4" s="9">
        <v>45294</v>
      </c>
      <c r="G4" s="19"/>
      <c r="H4" s="38"/>
      <c r="I4" s="8"/>
      <c r="J4" s="9"/>
      <c r="K4" s="9"/>
      <c r="L4" s="9"/>
      <c r="M4" s="8" t="s">
        <v>280</v>
      </c>
      <c r="N4" s="8" t="s">
        <v>459</v>
      </c>
      <c r="O4" s="8" t="s">
        <v>379</v>
      </c>
      <c r="P4" s="8"/>
      <c r="Q4" s="8" t="s">
        <v>389</v>
      </c>
      <c r="R4" s="5"/>
      <c r="S4" s="4">
        <f>WEEKNUM(L4)</f>
        <v>0</v>
      </c>
    </row>
    <row r="5" spans="1:19" x14ac:dyDescent="0.35">
      <c r="A5" s="22">
        <v>4</v>
      </c>
      <c r="B5" s="22"/>
      <c r="C5" s="24" t="s">
        <v>473</v>
      </c>
      <c r="D5" s="14" t="s">
        <v>292</v>
      </c>
      <c r="E5" s="20">
        <v>5633015352</v>
      </c>
      <c r="F5" s="9">
        <v>45294</v>
      </c>
      <c r="G5" s="19"/>
      <c r="H5" s="38"/>
      <c r="I5" s="8"/>
      <c r="J5" s="9"/>
      <c r="K5" s="9"/>
      <c r="L5" s="9"/>
      <c r="M5" s="8" t="s">
        <v>280</v>
      </c>
      <c r="N5" s="8" t="s">
        <v>433</v>
      </c>
      <c r="O5" s="8" t="s">
        <v>379</v>
      </c>
      <c r="P5" s="8"/>
      <c r="Q5" s="8" t="s">
        <v>389</v>
      </c>
      <c r="R5" s="5"/>
      <c r="S5" s="4">
        <f>WEEKNUM(L5)</f>
        <v>0</v>
      </c>
    </row>
    <row r="6" spans="1:19" x14ac:dyDescent="0.35">
      <c r="A6" s="22">
        <v>5</v>
      </c>
      <c r="B6" s="22" t="s">
        <v>472</v>
      </c>
      <c r="C6" s="24" t="s">
        <v>471</v>
      </c>
      <c r="D6" s="14" t="s">
        <v>276</v>
      </c>
      <c r="E6" s="20" t="s">
        <v>470</v>
      </c>
      <c r="F6" s="9">
        <v>45294</v>
      </c>
      <c r="G6" s="19"/>
      <c r="H6" s="38"/>
      <c r="I6" s="8"/>
      <c r="J6" s="9"/>
      <c r="K6" s="9"/>
      <c r="L6" s="9">
        <v>45295</v>
      </c>
      <c r="M6" s="8" t="s">
        <v>1</v>
      </c>
      <c r="N6" s="8"/>
      <c r="O6" s="8" t="s">
        <v>379</v>
      </c>
      <c r="P6" s="8"/>
      <c r="Q6" s="8" t="s">
        <v>389</v>
      </c>
      <c r="R6" s="5" t="s">
        <v>27</v>
      </c>
      <c r="S6" s="4">
        <f>WEEKNUM(L6)</f>
        <v>1</v>
      </c>
    </row>
    <row r="7" spans="1:19" x14ac:dyDescent="0.35">
      <c r="A7" s="22">
        <v>6</v>
      </c>
      <c r="B7" s="22" t="s">
        <v>469</v>
      </c>
      <c r="C7" s="24" t="s">
        <v>468</v>
      </c>
      <c r="D7" s="14" t="s">
        <v>276</v>
      </c>
      <c r="E7" s="20">
        <v>5676716127</v>
      </c>
      <c r="F7" s="9">
        <v>45294</v>
      </c>
      <c r="G7" s="19"/>
      <c r="H7" s="38"/>
      <c r="I7" s="8"/>
      <c r="J7" s="9"/>
      <c r="K7" s="9"/>
      <c r="L7" s="9">
        <v>45299</v>
      </c>
      <c r="M7" s="8" t="s">
        <v>1</v>
      </c>
      <c r="N7" s="8"/>
      <c r="O7" s="8" t="s">
        <v>379</v>
      </c>
      <c r="P7" s="8"/>
      <c r="Q7" s="8" t="s">
        <v>389</v>
      </c>
      <c r="R7" s="5" t="s">
        <v>27</v>
      </c>
      <c r="S7" s="4">
        <f>WEEKNUM(L7)</f>
        <v>2</v>
      </c>
    </row>
    <row r="8" spans="1:19" x14ac:dyDescent="0.35">
      <c r="A8" s="22">
        <v>7</v>
      </c>
      <c r="B8" s="22" t="s">
        <v>467</v>
      </c>
      <c r="C8" s="24" t="s">
        <v>466</v>
      </c>
      <c r="D8" s="14" t="s">
        <v>292</v>
      </c>
      <c r="E8" s="20" t="s">
        <v>465</v>
      </c>
      <c r="F8" s="9">
        <v>45294</v>
      </c>
      <c r="G8" s="19"/>
      <c r="H8" s="38"/>
      <c r="I8" s="8"/>
      <c r="J8" s="9"/>
      <c r="K8" s="9"/>
      <c r="L8" s="9">
        <v>45299</v>
      </c>
      <c r="M8" s="8" t="s">
        <v>1</v>
      </c>
      <c r="N8" s="8"/>
      <c r="O8" s="8" t="s">
        <v>379</v>
      </c>
      <c r="P8" s="8"/>
      <c r="Q8" s="8" t="s">
        <v>389</v>
      </c>
      <c r="R8" s="5" t="s">
        <v>22</v>
      </c>
      <c r="S8" s="4">
        <f>WEEKNUM(L8)</f>
        <v>2</v>
      </c>
    </row>
    <row r="9" spans="1:19" x14ac:dyDescent="0.35">
      <c r="A9" s="22">
        <v>8</v>
      </c>
      <c r="B9" s="22" t="s">
        <v>464</v>
      </c>
      <c r="C9" s="24" t="s">
        <v>463</v>
      </c>
      <c r="D9" s="14" t="s">
        <v>292</v>
      </c>
      <c r="E9" s="20">
        <v>5522204789</v>
      </c>
      <c r="F9" s="9">
        <v>45295</v>
      </c>
      <c r="G9" s="19"/>
      <c r="H9" s="38"/>
      <c r="I9" s="8"/>
      <c r="J9" s="9"/>
      <c r="K9" s="9"/>
      <c r="L9" s="9">
        <v>45296</v>
      </c>
      <c r="M9" s="8" t="s">
        <v>1</v>
      </c>
      <c r="N9" s="8"/>
      <c r="O9" s="8" t="s">
        <v>379</v>
      </c>
      <c r="P9" s="8"/>
      <c r="Q9" s="8" t="s">
        <v>389</v>
      </c>
      <c r="R9" s="5" t="s">
        <v>27</v>
      </c>
      <c r="S9" s="4">
        <f>WEEKNUM(L9)</f>
        <v>1</v>
      </c>
    </row>
    <row r="10" spans="1:19" x14ac:dyDescent="0.35">
      <c r="A10" s="22">
        <v>9</v>
      </c>
      <c r="B10" s="22" t="s">
        <v>462</v>
      </c>
      <c r="C10" s="24" t="s">
        <v>461</v>
      </c>
      <c r="D10" s="14" t="s">
        <v>276</v>
      </c>
      <c r="E10" s="20">
        <v>5611622905</v>
      </c>
      <c r="F10" s="9">
        <v>45295</v>
      </c>
      <c r="G10" s="19"/>
      <c r="H10" s="38"/>
      <c r="I10" s="8"/>
      <c r="J10" s="9"/>
      <c r="K10" s="9"/>
      <c r="L10" s="9">
        <v>45296</v>
      </c>
      <c r="M10" s="8" t="s">
        <v>1</v>
      </c>
      <c r="N10" s="8"/>
      <c r="O10" s="8" t="s">
        <v>379</v>
      </c>
      <c r="P10" s="8"/>
      <c r="Q10" s="8" t="s">
        <v>389</v>
      </c>
      <c r="R10" s="5" t="s">
        <v>27</v>
      </c>
      <c r="S10" s="4">
        <f>WEEKNUM(L10)</f>
        <v>1</v>
      </c>
    </row>
    <row r="11" spans="1:19" x14ac:dyDescent="0.35">
      <c r="A11" s="22">
        <v>10</v>
      </c>
      <c r="B11" s="22"/>
      <c r="C11" s="24" t="s">
        <v>460</v>
      </c>
      <c r="D11" s="14" t="s">
        <v>276</v>
      </c>
      <c r="E11" s="20"/>
      <c r="F11" s="9">
        <v>45299</v>
      </c>
      <c r="G11" s="19"/>
      <c r="H11" s="38"/>
      <c r="I11" s="8"/>
      <c r="J11" s="9"/>
      <c r="K11" s="9"/>
      <c r="L11" s="9"/>
      <c r="M11" s="8" t="s">
        <v>280</v>
      </c>
      <c r="N11" s="8" t="s">
        <v>459</v>
      </c>
      <c r="O11" s="8" t="s">
        <v>379</v>
      </c>
      <c r="P11" s="8"/>
      <c r="Q11" s="8" t="s">
        <v>389</v>
      </c>
      <c r="R11" s="5"/>
      <c r="S11" s="4">
        <f>WEEKNUM(L11)</f>
        <v>0</v>
      </c>
    </row>
    <row r="12" spans="1:19" x14ac:dyDescent="0.35">
      <c r="A12" s="22">
        <v>11</v>
      </c>
      <c r="B12" s="22" t="s">
        <v>458</v>
      </c>
      <c r="C12" s="24" t="s">
        <v>457</v>
      </c>
      <c r="D12" s="14" t="s">
        <v>276</v>
      </c>
      <c r="E12" s="20">
        <v>5634244653</v>
      </c>
      <c r="F12" s="9">
        <v>45300</v>
      </c>
      <c r="G12" s="19"/>
      <c r="H12" s="38"/>
      <c r="I12" s="8"/>
      <c r="J12" s="9"/>
      <c r="K12" s="9"/>
      <c r="L12" s="9">
        <v>45306</v>
      </c>
      <c r="M12" s="8" t="s">
        <v>1</v>
      </c>
      <c r="N12" s="8"/>
      <c r="O12" s="8" t="s">
        <v>274</v>
      </c>
      <c r="P12" s="8"/>
      <c r="Q12" s="8" t="s">
        <v>389</v>
      </c>
      <c r="R12" s="5" t="s">
        <v>22</v>
      </c>
      <c r="S12" s="4">
        <f>WEEKNUM(L12)</f>
        <v>3</v>
      </c>
    </row>
    <row r="13" spans="1:19" x14ac:dyDescent="0.35">
      <c r="A13" s="22">
        <v>12</v>
      </c>
      <c r="B13" s="22" t="s">
        <v>456</v>
      </c>
      <c r="C13" s="24" t="s">
        <v>455</v>
      </c>
      <c r="D13" s="14" t="s">
        <v>276</v>
      </c>
      <c r="E13" s="20"/>
      <c r="F13" s="9">
        <v>45300</v>
      </c>
      <c r="G13" s="19"/>
      <c r="H13" s="38"/>
      <c r="I13" s="8"/>
      <c r="J13" s="9"/>
      <c r="K13" s="9"/>
      <c r="L13" s="9">
        <v>45302</v>
      </c>
      <c r="M13" s="8" t="s">
        <v>1</v>
      </c>
      <c r="N13" s="8"/>
      <c r="O13" s="8" t="s">
        <v>379</v>
      </c>
      <c r="P13" s="8"/>
      <c r="Q13" s="8" t="s">
        <v>389</v>
      </c>
      <c r="R13" s="5" t="s">
        <v>27</v>
      </c>
      <c r="S13" s="4">
        <f>WEEKNUM(L13)</f>
        <v>2</v>
      </c>
    </row>
    <row r="14" spans="1:19" x14ac:dyDescent="0.35">
      <c r="A14" s="22">
        <v>13</v>
      </c>
      <c r="B14" s="22"/>
      <c r="C14" s="24" t="s">
        <v>454</v>
      </c>
      <c r="D14" s="14" t="s">
        <v>276</v>
      </c>
      <c r="E14" s="20" t="s">
        <v>453</v>
      </c>
      <c r="F14" s="9">
        <v>45300</v>
      </c>
      <c r="G14" s="19"/>
      <c r="H14" s="38"/>
      <c r="I14" s="8"/>
      <c r="J14" s="9"/>
      <c r="K14" s="9"/>
      <c r="L14" s="9"/>
      <c r="M14" s="8" t="s">
        <v>286</v>
      </c>
      <c r="N14" s="8" t="s">
        <v>426</v>
      </c>
      <c r="O14" s="8" t="s">
        <v>379</v>
      </c>
      <c r="P14" s="8"/>
      <c r="Q14" s="8" t="s">
        <v>389</v>
      </c>
      <c r="R14" s="5"/>
      <c r="S14" s="4">
        <f>WEEKNUM(L14)</f>
        <v>0</v>
      </c>
    </row>
    <row r="15" spans="1:19" x14ac:dyDescent="0.35">
      <c r="A15" s="22">
        <v>14</v>
      </c>
      <c r="B15" s="22"/>
      <c r="C15" s="24" t="s">
        <v>452</v>
      </c>
      <c r="D15" s="14" t="s">
        <v>276</v>
      </c>
      <c r="E15" s="20">
        <v>5563451969</v>
      </c>
      <c r="F15" s="9">
        <v>45300</v>
      </c>
      <c r="G15" s="19"/>
      <c r="H15" s="38"/>
      <c r="I15" s="8"/>
      <c r="J15" s="9"/>
      <c r="K15" s="9"/>
      <c r="L15" s="9"/>
      <c r="M15" s="8" t="s">
        <v>280</v>
      </c>
      <c r="N15" s="8" t="s">
        <v>451</v>
      </c>
      <c r="O15" s="8" t="s">
        <v>274</v>
      </c>
      <c r="P15" s="8"/>
      <c r="Q15" s="8" t="s">
        <v>389</v>
      </c>
      <c r="R15" s="5"/>
      <c r="S15" s="4">
        <f>WEEKNUM(L15)</f>
        <v>0</v>
      </c>
    </row>
    <row r="16" spans="1:19" x14ac:dyDescent="0.35">
      <c r="A16" s="22">
        <v>15</v>
      </c>
      <c r="B16" s="22" t="s">
        <v>450</v>
      </c>
      <c r="C16" s="24" t="s">
        <v>449</v>
      </c>
      <c r="D16" s="14" t="s">
        <v>448</v>
      </c>
      <c r="E16" s="20">
        <v>5631025693</v>
      </c>
      <c r="F16" s="9">
        <v>45300</v>
      </c>
      <c r="G16" s="19"/>
      <c r="H16" s="38"/>
      <c r="I16" s="8"/>
      <c r="J16" s="9"/>
      <c r="K16" s="9"/>
      <c r="L16" s="9">
        <v>45302</v>
      </c>
      <c r="M16" s="8" t="s">
        <v>1</v>
      </c>
      <c r="N16" s="8"/>
      <c r="O16" s="8" t="s">
        <v>274</v>
      </c>
      <c r="P16" s="8"/>
      <c r="Q16" s="8" t="s">
        <v>389</v>
      </c>
      <c r="R16" s="5" t="s">
        <v>22</v>
      </c>
      <c r="S16" s="4">
        <f>WEEKNUM(L16)</f>
        <v>2</v>
      </c>
    </row>
    <row r="17" spans="1:19" x14ac:dyDescent="0.35">
      <c r="A17" s="22">
        <v>16</v>
      </c>
      <c r="B17" s="22" t="s">
        <v>447</v>
      </c>
      <c r="C17" s="24" t="s">
        <v>446</v>
      </c>
      <c r="D17" s="14" t="s">
        <v>292</v>
      </c>
      <c r="E17" s="20">
        <v>5522789074</v>
      </c>
      <c r="F17" s="9">
        <v>45302</v>
      </c>
      <c r="G17" s="19"/>
      <c r="H17" s="38"/>
      <c r="I17" s="8"/>
      <c r="J17" s="9"/>
      <c r="K17" s="9"/>
      <c r="L17" s="9">
        <v>45303</v>
      </c>
      <c r="M17" s="8" t="s">
        <v>1</v>
      </c>
      <c r="N17" s="8"/>
      <c r="O17" s="8" t="s">
        <v>274</v>
      </c>
      <c r="P17" s="8"/>
      <c r="Q17" s="8" t="s">
        <v>389</v>
      </c>
      <c r="R17" s="5" t="s">
        <v>22</v>
      </c>
      <c r="S17" s="4">
        <f>WEEKNUM(L17)</f>
        <v>2</v>
      </c>
    </row>
    <row r="18" spans="1:19" x14ac:dyDescent="0.35">
      <c r="A18" s="22">
        <v>17</v>
      </c>
      <c r="B18" s="22"/>
      <c r="C18" s="24" t="s">
        <v>445</v>
      </c>
      <c r="D18" s="14" t="s">
        <v>276</v>
      </c>
      <c r="E18" s="20">
        <v>5538200873</v>
      </c>
      <c r="F18" s="9">
        <v>45302</v>
      </c>
      <c r="G18" s="19"/>
      <c r="H18" s="38"/>
      <c r="I18" s="8"/>
      <c r="J18" s="9"/>
      <c r="K18" s="9"/>
      <c r="L18" s="9"/>
      <c r="M18" s="8" t="s">
        <v>280</v>
      </c>
      <c r="N18" s="8" t="s">
        <v>408</v>
      </c>
      <c r="O18" s="8" t="s">
        <v>274</v>
      </c>
      <c r="P18" s="8"/>
      <c r="Q18" s="8" t="s">
        <v>389</v>
      </c>
      <c r="R18" s="5"/>
      <c r="S18" s="4">
        <f>WEEKNUM(L18)</f>
        <v>0</v>
      </c>
    </row>
    <row r="19" spans="1:19" x14ac:dyDescent="0.35">
      <c r="A19" s="22">
        <v>18</v>
      </c>
      <c r="B19" s="22" t="s">
        <v>444</v>
      </c>
      <c r="C19" s="24" t="s">
        <v>443</v>
      </c>
      <c r="D19" s="14" t="s">
        <v>276</v>
      </c>
      <c r="E19" s="20"/>
      <c r="F19" s="9">
        <v>45302</v>
      </c>
      <c r="G19" s="19"/>
      <c r="H19" s="38"/>
      <c r="I19" s="8"/>
      <c r="J19" s="9"/>
      <c r="K19" s="9"/>
      <c r="L19" s="9">
        <v>45306</v>
      </c>
      <c r="M19" s="8" t="s">
        <v>1</v>
      </c>
      <c r="N19" s="8"/>
      <c r="O19" s="8" t="s">
        <v>274</v>
      </c>
      <c r="P19" s="8"/>
      <c r="Q19" s="8" t="s">
        <v>389</v>
      </c>
      <c r="R19" s="5" t="s">
        <v>22</v>
      </c>
      <c r="S19" s="4">
        <f>WEEKNUM(L19)</f>
        <v>3</v>
      </c>
    </row>
    <row r="20" spans="1:19" x14ac:dyDescent="0.35">
      <c r="A20" s="22">
        <v>19</v>
      </c>
      <c r="B20" s="22" t="s">
        <v>442</v>
      </c>
      <c r="C20" s="24" t="s">
        <v>441</v>
      </c>
      <c r="D20" s="14" t="s">
        <v>276</v>
      </c>
      <c r="E20" s="20">
        <v>5632540512</v>
      </c>
      <c r="F20" s="9">
        <v>45306</v>
      </c>
      <c r="G20" s="19"/>
      <c r="H20" s="38"/>
      <c r="I20" s="8"/>
      <c r="J20" s="9">
        <v>45307</v>
      </c>
      <c r="K20" s="9">
        <v>45307</v>
      </c>
      <c r="L20" s="9">
        <v>45314</v>
      </c>
      <c r="M20" s="8" t="s">
        <v>1</v>
      </c>
      <c r="N20" s="8"/>
      <c r="O20" s="8" t="s">
        <v>379</v>
      </c>
      <c r="P20" s="8"/>
      <c r="Q20" s="8" t="s">
        <v>389</v>
      </c>
      <c r="R20" s="5" t="s">
        <v>27</v>
      </c>
      <c r="S20" s="4">
        <f>WEEKNUM(L20)</f>
        <v>4</v>
      </c>
    </row>
    <row r="21" spans="1:19" x14ac:dyDescent="0.35">
      <c r="A21" s="22">
        <v>20</v>
      </c>
      <c r="B21" s="22" t="s">
        <v>440</v>
      </c>
      <c r="C21" s="24" t="s">
        <v>439</v>
      </c>
      <c r="D21" s="14" t="s">
        <v>276</v>
      </c>
      <c r="E21" s="20">
        <v>5620381473</v>
      </c>
      <c r="F21" s="9">
        <v>45306</v>
      </c>
      <c r="G21" s="19"/>
      <c r="H21" s="38"/>
      <c r="I21" s="8"/>
      <c r="J21" s="9">
        <v>45307</v>
      </c>
      <c r="K21" s="9">
        <v>45307</v>
      </c>
      <c r="L21" s="9">
        <v>45308</v>
      </c>
      <c r="M21" s="8" t="s">
        <v>1</v>
      </c>
      <c r="N21" s="8"/>
      <c r="O21" s="8" t="s">
        <v>379</v>
      </c>
      <c r="P21" s="8"/>
      <c r="Q21" s="8" t="s">
        <v>389</v>
      </c>
      <c r="R21" s="5" t="s">
        <v>27</v>
      </c>
      <c r="S21" s="4">
        <f>WEEKNUM(L21)</f>
        <v>3</v>
      </c>
    </row>
    <row r="22" spans="1:19" x14ac:dyDescent="0.35">
      <c r="A22" s="22">
        <v>21</v>
      </c>
      <c r="B22" s="22" t="s">
        <v>438</v>
      </c>
      <c r="C22" s="24" t="s">
        <v>437</v>
      </c>
      <c r="D22" s="14" t="s">
        <v>276</v>
      </c>
      <c r="E22" s="20">
        <v>5548972191</v>
      </c>
      <c r="F22" s="9">
        <v>45306</v>
      </c>
      <c r="G22" s="19"/>
      <c r="H22" s="38"/>
      <c r="I22" s="8"/>
      <c r="J22" s="9"/>
      <c r="K22" s="9"/>
      <c r="L22" s="9">
        <v>45307</v>
      </c>
      <c r="M22" s="8" t="s">
        <v>1</v>
      </c>
      <c r="N22" s="8"/>
      <c r="O22" s="8" t="s">
        <v>379</v>
      </c>
      <c r="P22" s="8"/>
      <c r="Q22" s="8" t="s">
        <v>389</v>
      </c>
      <c r="R22" s="5" t="s">
        <v>27</v>
      </c>
      <c r="S22" s="4">
        <f>WEEKNUM(L22)</f>
        <v>3</v>
      </c>
    </row>
    <row r="23" spans="1:19" x14ac:dyDescent="0.35">
      <c r="A23" s="22">
        <v>22</v>
      </c>
      <c r="B23" s="22" t="s">
        <v>436</v>
      </c>
      <c r="C23" s="24" t="s">
        <v>435</v>
      </c>
      <c r="D23" s="14" t="s">
        <v>292</v>
      </c>
      <c r="E23" s="20">
        <v>5564476443</v>
      </c>
      <c r="F23" s="9">
        <v>45306</v>
      </c>
      <c r="G23" s="19"/>
      <c r="H23" s="38"/>
      <c r="I23" s="8"/>
      <c r="J23" s="9">
        <v>45308</v>
      </c>
      <c r="K23" s="9">
        <v>45308</v>
      </c>
      <c r="L23" s="9">
        <v>45309</v>
      </c>
      <c r="M23" s="8" t="s">
        <v>1</v>
      </c>
      <c r="N23" s="8"/>
      <c r="O23" s="8" t="s">
        <v>379</v>
      </c>
      <c r="P23" s="8"/>
      <c r="Q23" s="8" t="s">
        <v>389</v>
      </c>
      <c r="R23" s="5" t="s">
        <v>27</v>
      </c>
      <c r="S23" s="4">
        <f>WEEKNUM(L23)</f>
        <v>3</v>
      </c>
    </row>
    <row r="24" spans="1:19" x14ac:dyDescent="0.35">
      <c r="A24" s="22">
        <v>23</v>
      </c>
      <c r="B24" s="22"/>
      <c r="C24" s="24" t="s">
        <v>434</v>
      </c>
      <c r="D24" s="14" t="s">
        <v>292</v>
      </c>
      <c r="E24" s="20">
        <v>5568597141</v>
      </c>
      <c r="F24" s="9">
        <v>45306</v>
      </c>
      <c r="G24" s="19"/>
      <c r="H24" s="38"/>
      <c r="I24" s="8"/>
      <c r="J24" s="9"/>
      <c r="K24" s="9"/>
      <c r="L24" s="9"/>
      <c r="M24" s="8" t="s">
        <v>280</v>
      </c>
      <c r="N24" s="8" t="s">
        <v>433</v>
      </c>
      <c r="O24" s="8" t="s">
        <v>379</v>
      </c>
      <c r="P24" s="8"/>
      <c r="Q24" s="8" t="s">
        <v>389</v>
      </c>
      <c r="R24" s="5"/>
      <c r="S24" s="4">
        <f>WEEKNUM(L24)</f>
        <v>0</v>
      </c>
    </row>
    <row r="25" spans="1:19" x14ac:dyDescent="0.35">
      <c r="A25" s="22">
        <v>24</v>
      </c>
      <c r="B25" s="22" t="s">
        <v>432</v>
      </c>
      <c r="C25" s="24" t="s">
        <v>431</v>
      </c>
      <c r="D25" s="14" t="s">
        <v>276</v>
      </c>
      <c r="E25" s="20">
        <v>5643233596</v>
      </c>
      <c r="F25" s="9">
        <v>45306</v>
      </c>
      <c r="G25" s="19"/>
      <c r="H25" s="38"/>
      <c r="I25" s="8"/>
      <c r="J25" s="9"/>
      <c r="K25" s="9"/>
      <c r="L25" s="9">
        <v>45307</v>
      </c>
      <c r="M25" s="8" t="s">
        <v>1</v>
      </c>
      <c r="N25" s="8"/>
      <c r="O25" s="8" t="s">
        <v>379</v>
      </c>
      <c r="P25" s="8"/>
      <c r="Q25" s="8" t="s">
        <v>389</v>
      </c>
      <c r="R25" s="5" t="s">
        <v>27</v>
      </c>
      <c r="S25" s="4">
        <f>WEEKNUM(L25)</f>
        <v>3</v>
      </c>
    </row>
    <row r="26" spans="1:19" x14ac:dyDescent="0.35">
      <c r="A26" s="22">
        <v>25</v>
      </c>
      <c r="B26" s="22" t="s">
        <v>430</v>
      </c>
      <c r="C26" s="24" t="s">
        <v>429</v>
      </c>
      <c r="D26" s="14" t="s">
        <v>276</v>
      </c>
      <c r="E26" s="20">
        <v>5540759407</v>
      </c>
      <c r="F26" s="9">
        <v>45306</v>
      </c>
      <c r="G26" s="19"/>
      <c r="H26" s="38"/>
      <c r="I26" s="8"/>
      <c r="J26" s="9">
        <v>45307</v>
      </c>
      <c r="K26" s="9">
        <v>45307</v>
      </c>
      <c r="L26" s="9">
        <v>45308</v>
      </c>
      <c r="M26" s="8" t="s">
        <v>1</v>
      </c>
      <c r="N26" s="8"/>
      <c r="O26" s="8" t="s">
        <v>379</v>
      </c>
      <c r="P26" s="8"/>
      <c r="Q26" s="8" t="s">
        <v>389</v>
      </c>
      <c r="R26" s="5" t="s">
        <v>27</v>
      </c>
      <c r="S26" s="4">
        <f>WEEKNUM(L26)</f>
        <v>3</v>
      </c>
    </row>
    <row r="27" spans="1:19" x14ac:dyDescent="0.35">
      <c r="A27" s="22">
        <v>26</v>
      </c>
      <c r="B27" s="22"/>
      <c r="C27" s="24" t="s">
        <v>428</v>
      </c>
      <c r="D27" s="14" t="s">
        <v>276</v>
      </c>
      <c r="E27" s="20" t="s">
        <v>427</v>
      </c>
      <c r="F27" s="9">
        <v>45306</v>
      </c>
      <c r="G27" s="19"/>
      <c r="H27" s="38"/>
      <c r="I27" s="8"/>
      <c r="J27" s="9">
        <v>45308</v>
      </c>
      <c r="K27" s="9">
        <v>45308</v>
      </c>
      <c r="L27" s="9">
        <v>45309</v>
      </c>
      <c r="M27" s="8" t="s">
        <v>286</v>
      </c>
      <c r="N27" s="8" t="s">
        <v>426</v>
      </c>
      <c r="O27" s="8" t="s">
        <v>379</v>
      </c>
      <c r="P27" s="8"/>
      <c r="Q27" s="8" t="s">
        <v>389</v>
      </c>
      <c r="R27" s="5"/>
      <c r="S27" s="4">
        <f>WEEKNUM(L27)</f>
        <v>3</v>
      </c>
    </row>
    <row r="28" spans="1:19" x14ac:dyDescent="0.35">
      <c r="A28" s="22">
        <v>27</v>
      </c>
      <c r="B28" s="22"/>
      <c r="C28" s="24" t="s">
        <v>425</v>
      </c>
      <c r="D28" s="14" t="s">
        <v>276</v>
      </c>
      <c r="E28" s="20"/>
      <c r="F28" s="9">
        <v>45306</v>
      </c>
      <c r="G28" s="19"/>
      <c r="H28" s="38"/>
      <c r="I28" s="8"/>
      <c r="J28" s="9"/>
      <c r="K28" s="9"/>
      <c r="L28" s="9"/>
      <c r="M28" s="8" t="s">
        <v>280</v>
      </c>
      <c r="N28" s="8" t="s">
        <v>408</v>
      </c>
      <c r="O28" s="8" t="s">
        <v>379</v>
      </c>
      <c r="P28" s="8"/>
      <c r="Q28" s="8" t="s">
        <v>389</v>
      </c>
      <c r="R28" s="5"/>
      <c r="S28" s="4">
        <f>WEEKNUM(L28)</f>
        <v>0</v>
      </c>
    </row>
    <row r="29" spans="1:19" x14ac:dyDescent="0.35">
      <c r="A29" s="22">
        <v>28</v>
      </c>
      <c r="B29" s="22" t="s">
        <v>424</v>
      </c>
      <c r="C29" s="24" t="s">
        <v>423</v>
      </c>
      <c r="D29" s="14" t="s">
        <v>422</v>
      </c>
      <c r="E29" s="20">
        <v>5631048391</v>
      </c>
      <c r="F29" s="9">
        <v>45306</v>
      </c>
      <c r="G29" s="19"/>
      <c r="H29" s="38"/>
      <c r="I29" s="8"/>
      <c r="J29" s="9">
        <v>45307</v>
      </c>
      <c r="K29" s="9">
        <v>45307</v>
      </c>
      <c r="L29" s="9">
        <v>45308</v>
      </c>
      <c r="M29" s="8" t="s">
        <v>1</v>
      </c>
      <c r="N29" s="8"/>
      <c r="O29" s="8" t="s">
        <v>379</v>
      </c>
      <c r="P29" s="8"/>
      <c r="Q29" s="8" t="s">
        <v>389</v>
      </c>
      <c r="R29" s="5" t="s">
        <v>27</v>
      </c>
      <c r="S29" s="4">
        <f>WEEKNUM(L29)</f>
        <v>3</v>
      </c>
    </row>
    <row r="30" spans="1:19" x14ac:dyDescent="0.35">
      <c r="A30" s="22">
        <v>29</v>
      </c>
      <c r="B30" s="22" t="s">
        <v>278</v>
      </c>
      <c r="C30" s="24" t="s">
        <v>277</v>
      </c>
      <c r="D30" s="14" t="s">
        <v>276</v>
      </c>
      <c r="E30" s="20" t="s">
        <v>421</v>
      </c>
      <c r="F30" s="9">
        <v>45307</v>
      </c>
      <c r="G30" s="19"/>
      <c r="H30" s="38"/>
      <c r="I30" s="8"/>
      <c r="J30" s="9">
        <v>45307</v>
      </c>
      <c r="K30" s="9">
        <v>45307</v>
      </c>
      <c r="L30" s="9">
        <v>45308</v>
      </c>
      <c r="M30" s="8" t="s">
        <v>1</v>
      </c>
      <c r="N30" s="8"/>
      <c r="O30" s="8" t="s">
        <v>379</v>
      </c>
      <c r="P30" s="8"/>
      <c r="Q30" s="8" t="s">
        <v>389</v>
      </c>
      <c r="R30" s="5" t="s">
        <v>22</v>
      </c>
      <c r="S30" s="4">
        <f>WEEKNUM(L30)</f>
        <v>3</v>
      </c>
    </row>
    <row r="31" spans="1:19" x14ac:dyDescent="0.35">
      <c r="A31" s="22">
        <v>30</v>
      </c>
      <c r="B31" s="22" t="s">
        <v>420</v>
      </c>
      <c r="C31" s="24" t="s">
        <v>419</v>
      </c>
      <c r="D31" s="14" t="s">
        <v>276</v>
      </c>
      <c r="E31" s="20">
        <v>5548924009</v>
      </c>
      <c r="F31" s="9">
        <v>45307</v>
      </c>
      <c r="G31" s="19"/>
      <c r="H31" s="38"/>
      <c r="I31" s="8"/>
      <c r="J31" s="9">
        <v>45307</v>
      </c>
      <c r="K31" s="9">
        <v>45307</v>
      </c>
      <c r="L31" s="9">
        <v>45308</v>
      </c>
      <c r="M31" s="8" t="s">
        <v>1</v>
      </c>
      <c r="N31" s="8"/>
      <c r="O31" s="8" t="s">
        <v>379</v>
      </c>
      <c r="P31" s="8"/>
      <c r="Q31" s="8" t="s">
        <v>389</v>
      </c>
      <c r="R31" s="5" t="s">
        <v>27</v>
      </c>
      <c r="S31" s="4">
        <f>WEEKNUM(L31)</f>
        <v>3</v>
      </c>
    </row>
    <row r="32" spans="1:19" x14ac:dyDescent="0.35">
      <c r="A32" s="22">
        <v>31</v>
      </c>
      <c r="B32" s="22"/>
      <c r="C32" s="24" t="s">
        <v>418</v>
      </c>
      <c r="D32" s="14" t="s">
        <v>276</v>
      </c>
      <c r="E32" s="20">
        <v>5622002190</v>
      </c>
      <c r="F32" s="9">
        <v>45308</v>
      </c>
      <c r="G32" s="19"/>
      <c r="H32" s="38"/>
      <c r="I32" s="8"/>
      <c r="J32" s="9"/>
      <c r="K32" s="9"/>
      <c r="L32" s="9"/>
      <c r="M32" s="8" t="s">
        <v>280</v>
      </c>
      <c r="N32" s="8" t="s">
        <v>417</v>
      </c>
      <c r="O32" s="8" t="s">
        <v>379</v>
      </c>
      <c r="P32" s="8"/>
      <c r="Q32" s="8" t="s">
        <v>389</v>
      </c>
      <c r="R32" s="5"/>
      <c r="S32" s="4">
        <f>WEEKNUM(L32)</f>
        <v>0</v>
      </c>
    </row>
    <row r="33" spans="1:19" x14ac:dyDescent="0.35">
      <c r="A33" s="22">
        <v>32</v>
      </c>
      <c r="B33" s="22"/>
      <c r="C33" s="24" t="s">
        <v>416</v>
      </c>
      <c r="D33" s="14" t="s">
        <v>276</v>
      </c>
      <c r="E33" s="20">
        <v>5634216051</v>
      </c>
      <c r="F33" s="9">
        <v>45308</v>
      </c>
      <c r="G33" s="19"/>
      <c r="H33" s="38"/>
      <c r="I33" s="8"/>
      <c r="J33" s="9"/>
      <c r="K33" s="9"/>
      <c r="L33" s="9"/>
      <c r="M33" s="8" t="s">
        <v>280</v>
      </c>
      <c r="N33" s="8" t="s">
        <v>361</v>
      </c>
      <c r="O33" s="8" t="s">
        <v>379</v>
      </c>
      <c r="P33" s="8"/>
      <c r="Q33" s="8" t="s">
        <v>389</v>
      </c>
      <c r="R33" s="5"/>
      <c r="S33" s="4">
        <f>WEEKNUM(L33)</f>
        <v>0</v>
      </c>
    </row>
    <row r="34" spans="1:19" x14ac:dyDescent="0.35">
      <c r="A34" s="22">
        <v>33</v>
      </c>
      <c r="B34" s="22" t="s">
        <v>415</v>
      </c>
      <c r="C34" s="24" t="s">
        <v>414</v>
      </c>
      <c r="D34" s="14" t="s">
        <v>276</v>
      </c>
      <c r="E34" s="20">
        <v>5562066309</v>
      </c>
      <c r="F34" s="9">
        <v>45309</v>
      </c>
      <c r="G34" s="19"/>
      <c r="H34" s="38"/>
      <c r="I34" s="8"/>
      <c r="J34" s="9">
        <v>45309</v>
      </c>
      <c r="K34" s="9">
        <v>45309</v>
      </c>
      <c r="L34" s="9">
        <v>45310</v>
      </c>
      <c r="M34" s="8" t="s">
        <v>1</v>
      </c>
      <c r="N34" s="8"/>
      <c r="O34" s="8" t="s">
        <v>379</v>
      </c>
      <c r="P34" s="8"/>
      <c r="Q34" s="8" t="s">
        <v>389</v>
      </c>
      <c r="R34" s="5" t="s">
        <v>27</v>
      </c>
      <c r="S34" s="4">
        <f>WEEKNUM(L34)</f>
        <v>3</v>
      </c>
    </row>
    <row r="35" spans="1:19" x14ac:dyDescent="0.35">
      <c r="A35" s="22">
        <v>34</v>
      </c>
      <c r="B35" s="22"/>
      <c r="C35" s="24" t="s">
        <v>413</v>
      </c>
      <c r="D35" s="14" t="s">
        <v>276</v>
      </c>
      <c r="E35" s="20">
        <v>5575293515</v>
      </c>
      <c r="F35" s="9">
        <v>45309</v>
      </c>
      <c r="G35" s="19"/>
      <c r="H35" s="38"/>
      <c r="I35" s="8"/>
      <c r="J35" s="9"/>
      <c r="K35" s="9"/>
      <c r="L35" s="9"/>
      <c r="M35" s="8" t="s">
        <v>280</v>
      </c>
      <c r="N35" s="8" t="s">
        <v>412</v>
      </c>
      <c r="O35" s="8" t="s">
        <v>379</v>
      </c>
      <c r="P35" s="8"/>
      <c r="Q35" s="8" t="s">
        <v>389</v>
      </c>
      <c r="R35" s="5"/>
      <c r="S35" s="4">
        <f>WEEKNUM(L35)</f>
        <v>0</v>
      </c>
    </row>
    <row r="36" spans="1:19" x14ac:dyDescent="0.35">
      <c r="A36" s="22">
        <v>35</v>
      </c>
      <c r="B36" s="22" t="s">
        <v>411</v>
      </c>
      <c r="C36" s="24" t="s">
        <v>410</v>
      </c>
      <c r="D36" s="14" t="s">
        <v>276</v>
      </c>
      <c r="E36" s="20">
        <v>5587224409</v>
      </c>
      <c r="F36" s="9">
        <v>45310</v>
      </c>
      <c r="G36" s="19"/>
      <c r="H36" s="38"/>
      <c r="I36" s="8"/>
      <c r="J36" s="9">
        <v>45310</v>
      </c>
      <c r="K36" s="9">
        <v>45313</v>
      </c>
      <c r="L36" s="9">
        <v>45314</v>
      </c>
      <c r="M36" s="8" t="s">
        <v>1</v>
      </c>
      <c r="N36" s="8"/>
      <c r="O36" s="8" t="s">
        <v>379</v>
      </c>
      <c r="P36" s="8"/>
      <c r="Q36" s="8" t="s">
        <v>389</v>
      </c>
      <c r="R36" s="5" t="s">
        <v>27</v>
      </c>
      <c r="S36" s="4">
        <f>WEEKNUM(L36)</f>
        <v>4</v>
      </c>
    </row>
    <row r="37" spans="1:19" x14ac:dyDescent="0.35">
      <c r="A37" s="22">
        <v>36</v>
      </c>
      <c r="B37" s="22"/>
      <c r="C37" s="35" t="s">
        <v>409</v>
      </c>
      <c r="D37" s="14" t="s">
        <v>276</v>
      </c>
      <c r="E37" s="20">
        <v>7296151421</v>
      </c>
      <c r="F37" s="9">
        <v>45310</v>
      </c>
      <c r="G37" s="34"/>
      <c r="H37" s="36"/>
      <c r="I37" s="31"/>
      <c r="J37" s="9"/>
      <c r="K37" s="9"/>
      <c r="L37" s="9"/>
      <c r="M37" s="31" t="s">
        <v>280</v>
      </c>
      <c r="N37" s="31" t="s">
        <v>408</v>
      </c>
      <c r="O37" s="31" t="s">
        <v>379</v>
      </c>
      <c r="P37" s="31"/>
      <c r="Q37" s="31" t="s">
        <v>389</v>
      </c>
      <c r="R37" s="5"/>
      <c r="S37" s="4">
        <f>WEEKNUM(L37)</f>
        <v>0</v>
      </c>
    </row>
    <row r="38" spans="1:19" x14ac:dyDescent="0.35">
      <c r="A38" s="22">
        <v>37</v>
      </c>
      <c r="B38" s="22" t="s">
        <v>407</v>
      </c>
      <c r="C38" s="35" t="s">
        <v>406</v>
      </c>
      <c r="D38" s="14" t="s">
        <v>276</v>
      </c>
      <c r="E38" s="20" t="s">
        <v>405</v>
      </c>
      <c r="F38" s="9">
        <v>45310</v>
      </c>
      <c r="G38" s="34"/>
      <c r="H38" s="36"/>
      <c r="I38" s="31"/>
      <c r="J38" s="9">
        <v>45314</v>
      </c>
      <c r="K38" s="9"/>
      <c r="L38" s="9">
        <v>45316</v>
      </c>
      <c r="M38" s="31" t="s">
        <v>391</v>
      </c>
      <c r="N38" s="31" t="s">
        <v>404</v>
      </c>
      <c r="O38" s="31" t="s">
        <v>379</v>
      </c>
      <c r="P38" s="31"/>
      <c r="Q38" s="31" t="s">
        <v>389</v>
      </c>
      <c r="R38" s="5" t="s">
        <v>27</v>
      </c>
      <c r="S38" s="4">
        <f>WEEKNUM(L38)</f>
        <v>4</v>
      </c>
    </row>
    <row r="39" spans="1:19" x14ac:dyDescent="0.35">
      <c r="A39" s="22">
        <v>38</v>
      </c>
      <c r="B39" s="22"/>
      <c r="C39" s="35" t="s">
        <v>403</v>
      </c>
      <c r="D39" s="14" t="s">
        <v>276</v>
      </c>
      <c r="E39" s="20" t="s">
        <v>402</v>
      </c>
      <c r="F39" s="9">
        <v>45313</v>
      </c>
      <c r="G39" s="34"/>
      <c r="H39" s="36"/>
      <c r="I39" s="31"/>
      <c r="J39" s="9">
        <v>45313</v>
      </c>
      <c r="K39" s="9"/>
      <c r="L39" s="9"/>
      <c r="M39" s="31" t="s">
        <v>391</v>
      </c>
      <c r="N39" s="31" t="s">
        <v>401</v>
      </c>
      <c r="O39" s="31" t="s">
        <v>379</v>
      </c>
      <c r="P39" s="31"/>
      <c r="Q39" s="31" t="s">
        <v>389</v>
      </c>
      <c r="R39" s="5"/>
      <c r="S39" s="4">
        <f>WEEKNUM(L39)</f>
        <v>0</v>
      </c>
    </row>
    <row r="40" spans="1:19" x14ac:dyDescent="0.35">
      <c r="A40" s="22">
        <v>39</v>
      </c>
      <c r="B40" s="22"/>
      <c r="C40" s="35" t="s">
        <v>400</v>
      </c>
      <c r="D40" s="14" t="s">
        <v>292</v>
      </c>
      <c r="E40" s="20" t="s">
        <v>399</v>
      </c>
      <c r="F40" s="9">
        <v>45313</v>
      </c>
      <c r="G40" s="34"/>
      <c r="H40" s="36"/>
      <c r="I40" s="31"/>
      <c r="J40" s="9"/>
      <c r="K40" s="9"/>
      <c r="L40" s="9"/>
      <c r="M40" s="31" t="s">
        <v>391</v>
      </c>
      <c r="N40" s="31" t="s">
        <v>398</v>
      </c>
      <c r="O40" s="31" t="s">
        <v>379</v>
      </c>
      <c r="P40" s="31"/>
      <c r="Q40" s="31" t="s">
        <v>389</v>
      </c>
      <c r="R40" s="5"/>
      <c r="S40" s="4">
        <f>WEEKNUM(L40)</f>
        <v>0</v>
      </c>
    </row>
    <row r="41" spans="1:19" x14ac:dyDescent="0.35">
      <c r="A41" s="22">
        <v>40</v>
      </c>
      <c r="B41" s="22"/>
      <c r="C41" s="35" t="s">
        <v>397</v>
      </c>
      <c r="D41" s="14" t="s">
        <v>276</v>
      </c>
      <c r="E41" s="20" t="s">
        <v>396</v>
      </c>
      <c r="F41" s="9">
        <v>45313</v>
      </c>
      <c r="G41" s="34"/>
      <c r="H41" s="36"/>
      <c r="I41" s="31"/>
      <c r="J41" s="9"/>
      <c r="K41" s="9"/>
      <c r="L41" s="9"/>
      <c r="M41" s="31" t="s">
        <v>391</v>
      </c>
      <c r="N41" s="31" t="s">
        <v>395</v>
      </c>
      <c r="O41" s="31" t="s">
        <v>379</v>
      </c>
      <c r="P41" s="31"/>
      <c r="Q41" s="31" t="s">
        <v>389</v>
      </c>
      <c r="R41" s="5"/>
      <c r="S41" s="4">
        <f>WEEKNUM(L41)</f>
        <v>0</v>
      </c>
    </row>
    <row r="42" spans="1:19" x14ac:dyDescent="0.35">
      <c r="A42" s="22">
        <v>41</v>
      </c>
      <c r="B42" s="22" t="s">
        <v>394</v>
      </c>
      <c r="C42" s="35" t="s">
        <v>393</v>
      </c>
      <c r="D42" s="14" t="s">
        <v>276</v>
      </c>
      <c r="E42" s="20">
        <v>5534311909</v>
      </c>
      <c r="F42" s="9">
        <v>45314</v>
      </c>
      <c r="G42" s="37" t="s">
        <v>375</v>
      </c>
      <c r="H42" s="36" t="s">
        <v>374</v>
      </c>
      <c r="I42" s="31" t="s">
        <v>348</v>
      </c>
      <c r="J42" s="9"/>
      <c r="K42" s="9"/>
      <c r="L42" s="9">
        <v>45317</v>
      </c>
      <c r="M42" s="31" t="s">
        <v>391</v>
      </c>
      <c r="N42" s="31" t="s">
        <v>390</v>
      </c>
      <c r="O42" s="31" t="s">
        <v>379</v>
      </c>
      <c r="P42" s="31"/>
      <c r="Q42" s="31" t="s">
        <v>389</v>
      </c>
      <c r="R42" s="5" t="s">
        <v>27</v>
      </c>
      <c r="S42" s="4">
        <f>WEEKNUM(L42)</f>
        <v>4</v>
      </c>
    </row>
    <row r="43" spans="1:19" x14ac:dyDescent="0.35">
      <c r="A43" s="22">
        <v>42</v>
      </c>
      <c r="B43" s="22"/>
      <c r="C43" s="35" t="s">
        <v>392</v>
      </c>
      <c r="D43" s="14" t="s">
        <v>276</v>
      </c>
      <c r="E43" s="20">
        <v>5613402932</v>
      </c>
      <c r="F43" s="9">
        <v>45314</v>
      </c>
      <c r="G43" s="37" t="s">
        <v>375</v>
      </c>
      <c r="H43" s="36" t="s">
        <v>374</v>
      </c>
      <c r="I43" s="31" t="s">
        <v>275</v>
      </c>
      <c r="J43" s="9"/>
      <c r="K43" s="9"/>
      <c r="L43" s="9"/>
      <c r="M43" s="31" t="s">
        <v>391</v>
      </c>
      <c r="N43" s="31" t="s">
        <v>390</v>
      </c>
      <c r="O43" s="31" t="s">
        <v>379</v>
      </c>
      <c r="P43" s="31"/>
      <c r="Q43" s="31" t="s">
        <v>389</v>
      </c>
      <c r="R43" s="5"/>
      <c r="S43" s="4">
        <f>WEEKNUM(L43)</f>
        <v>0</v>
      </c>
    </row>
    <row r="44" spans="1:19" x14ac:dyDescent="0.35">
      <c r="A44" s="22">
        <v>43</v>
      </c>
      <c r="B44" s="22" t="s">
        <v>388</v>
      </c>
      <c r="C44" s="35" t="s">
        <v>387</v>
      </c>
      <c r="D44" s="14" t="s">
        <v>276</v>
      </c>
      <c r="E44" s="20" t="s">
        <v>386</v>
      </c>
      <c r="F44" s="9">
        <v>45294</v>
      </c>
      <c r="G44" s="34" t="s">
        <v>344</v>
      </c>
      <c r="H44" s="33" t="s">
        <v>343</v>
      </c>
      <c r="I44" s="31" t="s">
        <v>275</v>
      </c>
      <c r="J44" s="9">
        <v>45295</v>
      </c>
      <c r="K44" s="9">
        <v>45295</v>
      </c>
      <c r="L44" s="9">
        <v>45296</v>
      </c>
      <c r="M44" s="31" t="s">
        <v>1</v>
      </c>
      <c r="N44" s="31"/>
      <c r="O44" s="31" t="s">
        <v>274</v>
      </c>
      <c r="P44" s="32">
        <v>45296</v>
      </c>
      <c r="Q44" s="31" t="s">
        <v>340</v>
      </c>
      <c r="R44" s="5" t="s">
        <v>22</v>
      </c>
      <c r="S44" s="4">
        <f>WEEKNUM(L44)</f>
        <v>1</v>
      </c>
    </row>
    <row r="45" spans="1:19" x14ac:dyDescent="0.35">
      <c r="A45" s="22">
        <v>44</v>
      </c>
      <c r="B45" s="22" t="s">
        <v>385</v>
      </c>
      <c r="C45" s="35" t="s">
        <v>384</v>
      </c>
      <c r="D45" s="14" t="s">
        <v>292</v>
      </c>
      <c r="E45" s="20" t="s">
        <v>383</v>
      </c>
      <c r="F45" s="9">
        <v>45294</v>
      </c>
      <c r="G45" s="34" t="s">
        <v>344</v>
      </c>
      <c r="H45" s="33" t="s">
        <v>343</v>
      </c>
      <c r="I45" s="31" t="s">
        <v>348</v>
      </c>
      <c r="J45" s="9">
        <v>45294</v>
      </c>
      <c r="K45" s="9">
        <v>45294</v>
      </c>
      <c r="L45" s="9">
        <v>45295</v>
      </c>
      <c r="M45" s="31" t="s">
        <v>1</v>
      </c>
      <c r="N45" s="31"/>
      <c r="O45" s="31" t="s">
        <v>274</v>
      </c>
      <c r="P45" s="32">
        <v>45296</v>
      </c>
      <c r="Q45" s="31" t="s">
        <v>340</v>
      </c>
      <c r="R45" s="5" t="s">
        <v>22</v>
      </c>
      <c r="S45" s="4">
        <f>WEEKNUM(L45)</f>
        <v>1</v>
      </c>
    </row>
    <row r="46" spans="1:19" x14ac:dyDescent="0.35">
      <c r="A46" s="22">
        <v>45</v>
      </c>
      <c r="B46" s="22" t="s">
        <v>382</v>
      </c>
      <c r="C46" s="35" t="s">
        <v>381</v>
      </c>
      <c r="D46" s="14" t="s">
        <v>276</v>
      </c>
      <c r="E46" s="20" t="s">
        <v>380</v>
      </c>
      <c r="F46" s="9">
        <v>45294</v>
      </c>
      <c r="G46" s="34" t="s">
        <v>344</v>
      </c>
      <c r="H46" s="33" t="s">
        <v>374</v>
      </c>
      <c r="I46" s="31" t="s">
        <v>275</v>
      </c>
      <c r="J46" s="9">
        <v>45294</v>
      </c>
      <c r="K46" s="9">
        <v>45294</v>
      </c>
      <c r="L46" s="9">
        <v>45295</v>
      </c>
      <c r="M46" s="31" t="s">
        <v>1</v>
      </c>
      <c r="N46" s="31"/>
      <c r="O46" s="31" t="s">
        <v>379</v>
      </c>
      <c r="P46" s="32"/>
      <c r="Q46" s="31" t="s">
        <v>340</v>
      </c>
      <c r="R46" s="5" t="s">
        <v>22</v>
      </c>
      <c r="S46" s="4">
        <f>WEEKNUM(L46)</f>
        <v>1</v>
      </c>
    </row>
    <row r="47" spans="1:19" x14ac:dyDescent="0.35">
      <c r="A47" s="22">
        <v>46</v>
      </c>
      <c r="B47" s="22" t="s">
        <v>378</v>
      </c>
      <c r="C47" s="35" t="s">
        <v>377</v>
      </c>
      <c r="D47" s="14" t="s">
        <v>276</v>
      </c>
      <c r="E47" s="20" t="s">
        <v>376</v>
      </c>
      <c r="F47" s="9">
        <v>45289</v>
      </c>
      <c r="G47" s="34" t="s">
        <v>375</v>
      </c>
      <c r="H47" s="33" t="s">
        <v>374</v>
      </c>
      <c r="I47" s="31" t="s">
        <v>275</v>
      </c>
      <c r="J47" s="9">
        <v>45293</v>
      </c>
      <c r="K47" s="9">
        <v>45293</v>
      </c>
      <c r="L47" s="9">
        <v>45294</v>
      </c>
      <c r="M47" s="31" t="s">
        <v>1</v>
      </c>
      <c r="N47" s="31"/>
      <c r="O47" s="31" t="s">
        <v>341</v>
      </c>
      <c r="P47" s="32"/>
      <c r="Q47" s="31" t="s">
        <v>340</v>
      </c>
      <c r="R47" s="5" t="s">
        <v>22</v>
      </c>
      <c r="S47" s="4">
        <f>WEEKNUM(L47)</f>
        <v>1</v>
      </c>
    </row>
    <row r="48" spans="1:19" x14ac:dyDescent="0.35">
      <c r="A48" s="22">
        <v>47</v>
      </c>
      <c r="B48" s="22" t="s">
        <v>373</v>
      </c>
      <c r="C48" s="35" t="s">
        <v>372</v>
      </c>
      <c r="D48" s="14" t="s">
        <v>292</v>
      </c>
      <c r="E48" s="20" t="s">
        <v>371</v>
      </c>
      <c r="F48" s="9">
        <v>45294</v>
      </c>
      <c r="G48" s="34" t="s">
        <v>344</v>
      </c>
      <c r="H48" s="33" t="s">
        <v>343</v>
      </c>
      <c r="I48" s="31" t="s">
        <v>275</v>
      </c>
      <c r="J48" s="9">
        <v>45295</v>
      </c>
      <c r="K48" s="9">
        <v>45295</v>
      </c>
      <c r="L48" s="9">
        <v>45297</v>
      </c>
      <c r="M48" s="31" t="s">
        <v>1</v>
      </c>
      <c r="N48" s="31"/>
      <c r="O48" s="31" t="s">
        <v>274</v>
      </c>
      <c r="P48" s="32">
        <v>45296</v>
      </c>
      <c r="Q48" s="31" t="s">
        <v>340</v>
      </c>
      <c r="R48" s="5" t="s">
        <v>22</v>
      </c>
      <c r="S48" s="4">
        <f>WEEKNUM(L48)</f>
        <v>1</v>
      </c>
    </row>
    <row r="49" spans="1:19" x14ac:dyDescent="0.35">
      <c r="A49" s="22">
        <v>48</v>
      </c>
      <c r="B49" s="22" t="s">
        <v>370</v>
      </c>
      <c r="C49" s="35" t="s">
        <v>369</v>
      </c>
      <c r="D49" s="14" t="s">
        <v>292</v>
      </c>
      <c r="E49" s="20" t="s">
        <v>368</v>
      </c>
      <c r="F49" s="9">
        <v>45295</v>
      </c>
      <c r="G49" s="34" t="s">
        <v>344</v>
      </c>
      <c r="H49" s="33" t="s">
        <v>343</v>
      </c>
      <c r="I49" s="31" t="s">
        <v>275</v>
      </c>
      <c r="J49" s="9">
        <v>45296</v>
      </c>
      <c r="K49" s="9">
        <v>45296</v>
      </c>
      <c r="L49" s="9">
        <v>45299</v>
      </c>
      <c r="M49" s="31" t="s">
        <v>1</v>
      </c>
      <c r="N49" s="31"/>
      <c r="O49" s="31" t="s">
        <v>341</v>
      </c>
      <c r="P49" s="32"/>
      <c r="Q49" s="31" t="s">
        <v>340</v>
      </c>
      <c r="R49" s="5" t="s">
        <v>22</v>
      </c>
      <c r="S49" s="4">
        <f>WEEKNUM(L49)</f>
        <v>2</v>
      </c>
    </row>
    <row r="50" spans="1:19" x14ac:dyDescent="0.35">
      <c r="A50" s="22">
        <v>49</v>
      </c>
      <c r="B50" s="22" t="s">
        <v>367</v>
      </c>
      <c r="C50" s="35" t="s">
        <v>366</v>
      </c>
      <c r="D50" s="14" t="s">
        <v>276</v>
      </c>
      <c r="E50" s="20" t="s">
        <v>365</v>
      </c>
      <c r="F50" s="9">
        <v>45296</v>
      </c>
      <c r="G50" s="34" t="s">
        <v>344</v>
      </c>
      <c r="H50" s="33" t="s">
        <v>343</v>
      </c>
      <c r="I50" s="31" t="s">
        <v>275</v>
      </c>
      <c r="J50" s="9">
        <v>45300</v>
      </c>
      <c r="K50" s="9">
        <v>45300</v>
      </c>
      <c r="L50" s="9">
        <v>45301</v>
      </c>
      <c r="M50" s="31" t="s">
        <v>1</v>
      </c>
      <c r="N50" s="31"/>
      <c r="O50" s="31" t="s">
        <v>341</v>
      </c>
      <c r="P50" s="32"/>
      <c r="Q50" s="31" t="s">
        <v>340</v>
      </c>
      <c r="R50" s="5" t="s">
        <v>22</v>
      </c>
      <c r="S50" s="4">
        <f>WEEKNUM(L50)</f>
        <v>2</v>
      </c>
    </row>
    <row r="51" spans="1:19" x14ac:dyDescent="0.35">
      <c r="A51" s="22">
        <v>50</v>
      </c>
      <c r="B51" s="22" t="s">
        <v>364</v>
      </c>
      <c r="C51" s="35" t="s">
        <v>363</v>
      </c>
      <c r="D51" s="14" t="s">
        <v>276</v>
      </c>
      <c r="E51" s="20" t="s">
        <v>362</v>
      </c>
      <c r="F51" s="9">
        <v>45299</v>
      </c>
      <c r="G51" s="34" t="s">
        <v>344</v>
      </c>
      <c r="H51" s="33" t="s">
        <v>343</v>
      </c>
      <c r="I51" s="31" t="s">
        <v>336</v>
      </c>
      <c r="J51" s="9">
        <v>45300</v>
      </c>
      <c r="K51" s="9">
        <v>45300</v>
      </c>
      <c r="L51" s="9">
        <v>45301</v>
      </c>
      <c r="M51" s="31" t="s">
        <v>286</v>
      </c>
      <c r="N51" s="31" t="s">
        <v>361</v>
      </c>
      <c r="O51" s="31" t="s">
        <v>274</v>
      </c>
      <c r="P51" s="32">
        <v>45327</v>
      </c>
      <c r="Q51" s="31" t="s">
        <v>340</v>
      </c>
      <c r="R51" s="5" t="s">
        <v>22</v>
      </c>
      <c r="S51" s="4">
        <f>WEEKNUM(L51)</f>
        <v>2</v>
      </c>
    </row>
    <row r="52" spans="1:19" x14ac:dyDescent="0.35">
      <c r="A52" s="22">
        <v>51</v>
      </c>
      <c r="B52" s="22" t="s">
        <v>360</v>
      </c>
      <c r="C52" s="35" t="s">
        <v>359</v>
      </c>
      <c r="D52" s="14" t="s">
        <v>292</v>
      </c>
      <c r="E52" s="20" t="s">
        <v>358</v>
      </c>
      <c r="F52" s="9">
        <v>45300</v>
      </c>
      <c r="G52" s="34" t="s">
        <v>344</v>
      </c>
      <c r="H52" s="33" t="s">
        <v>343</v>
      </c>
      <c r="I52" s="31" t="s">
        <v>275</v>
      </c>
      <c r="J52" s="9">
        <v>45301</v>
      </c>
      <c r="K52" s="9">
        <v>45301</v>
      </c>
      <c r="L52" s="9">
        <v>45302</v>
      </c>
      <c r="M52" s="31" t="s">
        <v>1</v>
      </c>
      <c r="N52" s="31"/>
      <c r="O52" s="31" t="s">
        <v>274</v>
      </c>
      <c r="P52" s="32">
        <v>45327</v>
      </c>
      <c r="Q52" s="31" t="s">
        <v>340</v>
      </c>
      <c r="R52" s="5" t="s">
        <v>22</v>
      </c>
      <c r="S52" s="4">
        <f>WEEKNUM(L52)</f>
        <v>2</v>
      </c>
    </row>
    <row r="53" spans="1:19" x14ac:dyDescent="0.35">
      <c r="A53" s="22">
        <v>52</v>
      </c>
      <c r="B53" s="22" t="s">
        <v>357</v>
      </c>
      <c r="C53" s="35" t="s">
        <v>356</v>
      </c>
      <c r="D53" s="14" t="s">
        <v>276</v>
      </c>
      <c r="E53" s="20" t="s">
        <v>355</v>
      </c>
      <c r="F53" s="9">
        <v>45300</v>
      </c>
      <c r="G53" s="34" t="s">
        <v>344</v>
      </c>
      <c r="H53" s="33" t="s">
        <v>343</v>
      </c>
      <c r="I53" s="31" t="s">
        <v>348</v>
      </c>
      <c r="J53" s="9">
        <v>45301</v>
      </c>
      <c r="K53" s="9">
        <v>45301</v>
      </c>
      <c r="L53" s="9">
        <v>45302</v>
      </c>
      <c r="M53" s="31" t="s">
        <v>1</v>
      </c>
      <c r="N53" s="31"/>
      <c r="O53" s="31" t="s">
        <v>274</v>
      </c>
      <c r="P53" s="32">
        <v>45327</v>
      </c>
      <c r="Q53" s="31" t="s">
        <v>340</v>
      </c>
      <c r="R53" s="5" t="s">
        <v>22</v>
      </c>
      <c r="S53" s="4">
        <f>WEEKNUM(L53)</f>
        <v>2</v>
      </c>
    </row>
    <row r="54" spans="1:19" x14ac:dyDescent="0.35">
      <c r="A54" s="22">
        <v>53</v>
      </c>
      <c r="B54" s="22" t="s">
        <v>354</v>
      </c>
      <c r="C54" s="35" t="s">
        <v>353</v>
      </c>
      <c r="D54" s="14" t="s">
        <v>276</v>
      </c>
      <c r="E54" s="20" t="s">
        <v>352</v>
      </c>
      <c r="F54" s="9">
        <v>45306</v>
      </c>
      <c r="G54" s="34" t="s">
        <v>344</v>
      </c>
      <c r="H54" s="33" t="s">
        <v>343</v>
      </c>
      <c r="I54" s="31" t="s">
        <v>275</v>
      </c>
      <c r="J54" s="9">
        <v>45306</v>
      </c>
      <c r="K54" s="9">
        <v>45306</v>
      </c>
      <c r="L54" s="9">
        <v>45307</v>
      </c>
      <c r="M54" s="31" t="s">
        <v>1</v>
      </c>
      <c r="N54" s="31"/>
      <c r="O54" s="31" t="s">
        <v>274</v>
      </c>
      <c r="P54" s="32">
        <v>45356</v>
      </c>
      <c r="Q54" s="31" t="s">
        <v>340</v>
      </c>
      <c r="R54" s="5" t="s">
        <v>22</v>
      </c>
      <c r="S54" s="4">
        <f>WEEKNUM(L54)</f>
        <v>3</v>
      </c>
    </row>
    <row r="55" spans="1:19" x14ac:dyDescent="0.35">
      <c r="A55" s="22">
        <v>54</v>
      </c>
      <c r="B55" s="22" t="s">
        <v>351</v>
      </c>
      <c r="C55" s="35" t="s">
        <v>350</v>
      </c>
      <c r="D55" s="14" t="s">
        <v>292</v>
      </c>
      <c r="E55" s="20" t="s">
        <v>349</v>
      </c>
      <c r="F55" s="9">
        <v>45306</v>
      </c>
      <c r="G55" s="34" t="s">
        <v>344</v>
      </c>
      <c r="H55" s="33" t="s">
        <v>343</v>
      </c>
      <c r="I55" s="31" t="s">
        <v>348</v>
      </c>
      <c r="J55" s="9">
        <v>45306</v>
      </c>
      <c r="K55" s="9">
        <v>45306</v>
      </c>
      <c r="L55" s="9">
        <v>45307</v>
      </c>
      <c r="M55" s="31" t="s">
        <v>1</v>
      </c>
      <c r="N55" s="31"/>
      <c r="O55" s="31" t="s">
        <v>274</v>
      </c>
      <c r="P55" s="32">
        <v>45356</v>
      </c>
      <c r="Q55" s="31" t="s">
        <v>340</v>
      </c>
      <c r="R55" s="5" t="s">
        <v>22</v>
      </c>
      <c r="S55" s="4">
        <f>WEEKNUM(L55)</f>
        <v>3</v>
      </c>
    </row>
    <row r="56" spans="1:19" x14ac:dyDescent="0.35">
      <c r="A56" s="22">
        <v>55</v>
      </c>
      <c r="B56" s="22" t="s">
        <v>347</v>
      </c>
      <c r="C56" s="35" t="s">
        <v>346</v>
      </c>
      <c r="D56" s="14" t="s">
        <v>292</v>
      </c>
      <c r="E56" s="20" t="s">
        <v>345</v>
      </c>
      <c r="F56" s="9">
        <v>45308</v>
      </c>
      <c r="G56" s="34" t="s">
        <v>344</v>
      </c>
      <c r="H56" s="33" t="s">
        <v>343</v>
      </c>
      <c r="I56" s="31" t="s">
        <v>275</v>
      </c>
      <c r="J56" s="9">
        <v>45308</v>
      </c>
      <c r="K56" s="9">
        <v>45308</v>
      </c>
      <c r="L56" s="9">
        <v>45309</v>
      </c>
      <c r="M56" s="31" t="s">
        <v>286</v>
      </c>
      <c r="N56" s="31" t="s">
        <v>342</v>
      </c>
      <c r="O56" s="31" t="s">
        <v>341</v>
      </c>
      <c r="P56" s="32"/>
      <c r="Q56" s="31" t="s">
        <v>340</v>
      </c>
      <c r="R56" s="5" t="s">
        <v>22</v>
      </c>
      <c r="S56" s="4">
        <f>WEEKNUM(L56)</f>
        <v>3</v>
      </c>
    </row>
    <row r="57" spans="1:19" x14ac:dyDescent="0.35">
      <c r="A57" s="22">
        <v>56</v>
      </c>
      <c r="B57" s="22"/>
      <c r="C57" s="35" t="s">
        <v>339</v>
      </c>
      <c r="D57" s="14" t="s">
        <v>338</v>
      </c>
      <c r="E57" s="20" t="s">
        <v>337</v>
      </c>
      <c r="F57" s="9">
        <v>45287</v>
      </c>
      <c r="G57" s="34"/>
      <c r="H57" s="33"/>
      <c r="I57" s="31" t="s">
        <v>336</v>
      </c>
      <c r="J57" s="9"/>
      <c r="K57" s="9"/>
      <c r="L57" s="9"/>
      <c r="M57" s="31" t="s">
        <v>335</v>
      </c>
      <c r="N57" s="31"/>
      <c r="O57" s="31" t="s">
        <v>274</v>
      </c>
      <c r="P57" s="32">
        <v>45328</v>
      </c>
      <c r="Q57" s="31" t="s">
        <v>273</v>
      </c>
      <c r="R57" s="5"/>
      <c r="S57" s="4">
        <f>WEEKNUM(L57)</f>
        <v>0</v>
      </c>
    </row>
    <row r="58" spans="1:19" x14ac:dyDescent="0.35">
      <c r="A58" s="22">
        <v>57</v>
      </c>
      <c r="B58" s="22" t="s">
        <v>334</v>
      </c>
      <c r="C58" s="35" t="s">
        <v>333</v>
      </c>
      <c r="D58" s="14" t="s">
        <v>276</v>
      </c>
      <c r="E58" s="20">
        <v>5524414063</v>
      </c>
      <c r="F58" s="9">
        <v>45294</v>
      </c>
      <c r="G58" s="34"/>
      <c r="H58" s="33"/>
      <c r="I58" s="31" t="s">
        <v>275</v>
      </c>
      <c r="J58" s="9">
        <v>45294</v>
      </c>
      <c r="K58" s="9">
        <v>45294</v>
      </c>
      <c r="L58" s="9">
        <v>45295</v>
      </c>
      <c r="M58" s="31" t="s">
        <v>1</v>
      </c>
      <c r="N58" s="31"/>
      <c r="O58" s="31" t="s">
        <v>274</v>
      </c>
      <c r="P58" s="32"/>
      <c r="Q58" s="31" t="s">
        <v>273</v>
      </c>
      <c r="R58" s="5" t="s">
        <v>7</v>
      </c>
      <c r="S58" s="4">
        <f>WEEKNUM(L58)</f>
        <v>1</v>
      </c>
    </row>
    <row r="59" spans="1:19" x14ac:dyDescent="0.35">
      <c r="A59" s="22">
        <v>58</v>
      </c>
      <c r="B59" s="22" t="s">
        <v>332</v>
      </c>
      <c r="C59" s="35" t="s">
        <v>331</v>
      </c>
      <c r="D59" s="14" t="s">
        <v>330</v>
      </c>
      <c r="E59" s="20">
        <v>5610223020</v>
      </c>
      <c r="F59" s="9">
        <v>45294</v>
      </c>
      <c r="G59" s="34"/>
      <c r="H59" s="33"/>
      <c r="I59" s="31" t="s">
        <v>275</v>
      </c>
      <c r="J59" s="9">
        <v>45294</v>
      </c>
      <c r="K59" s="9">
        <v>45294</v>
      </c>
      <c r="L59" s="9">
        <v>45295</v>
      </c>
      <c r="M59" s="31" t="s">
        <v>1</v>
      </c>
      <c r="N59" s="31"/>
      <c r="O59" s="31" t="s">
        <v>274</v>
      </c>
      <c r="P59" s="32"/>
      <c r="Q59" s="31" t="s">
        <v>273</v>
      </c>
      <c r="R59" s="5" t="s">
        <v>13</v>
      </c>
      <c r="S59" s="4">
        <f>WEEKNUM(L59)</f>
        <v>1</v>
      </c>
    </row>
    <row r="60" spans="1:19" x14ac:dyDescent="0.35">
      <c r="A60" s="22">
        <v>59</v>
      </c>
      <c r="B60" s="22" t="s">
        <v>329</v>
      </c>
      <c r="C60" s="35" t="s">
        <v>328</v>
      </c>
      <c r="D60" s="14" t="s">
        <v>276</v>
      </c>
      <c r="E60" s="20">
        <v>5545129164</v>
      </c>
      <c r="F60" s="9">
        <v>45294</v>
      </c>
      <c r="G60" s="34"/>
      <c r="H60" s="33"/>
      <c r="I60" s="31" t="s">
        <v>275</v>
      </c>
      <c r="J60" s="9">
        <v>45294</v>
      </c>
      <c r="K60" s="9">
        <v>45294</v>
      </c>
      <c r="L60" s="9">
        <v>45295</v>
      </c>
      <c r="M60" s="31" t="s">
        <v>1</v>
      </c>
      <c r="N60" s="31"/>
      <c r="O60" s="31" t="s">
        <v>274</v>
      </c>
      <c r="P60" s="32"/>
      <c r="Q60" s="31" t="s">
        <v>273</v>
      </c>
      <c r="R60" s="5" t="s">
        <v>7</v>
      </c>
      <c r="S60" s="4">
        <f>WEEKNUM(L60)</f>
        <v>1</v>
      </c>
    </row>
    <row r="61" spans="1:19" x14ac:dyDescent="0.35">
      <c r="A61" s="22">
        <v>60</v>
      </c>
      <c r="B61" s="22" t="s">
        <v>327</v>
      </c>
      <c r="C61" s="35" t="s">
        <v>326</v>
      </c>
      <c r="D61" s="14" t="s">
        <v>276</v>
      </c>
      <c r="E61" s="20">
        <v>5547912517</v>
      </c>
      <c r="F61" s="9">
        <v>45294</v>
      </c>
      <c r="G61" s="34"/>
      <c r="H61" s="33"/>
      <c r="I61" s="31" t="s">
        <v>275</v>
      </c>
      <c r="J61" s="9">
        <v>45294</v>
      </c>
      <c r="K61" s="9">
        <v>45295</v>
      </c>
      <c r="L61" s="9">
        <v>45296</v>
      </c>
      <c r="M61" s="31" t="s">
        <v>1</v>
      </c>
      <c r="N61" s="31"/>
      <c r="O61" s="31" t="s">
        <v>274</v>
      </c>
      <c r="P61" s="32"/>
      <c r="Q61" s="31" t="s">
        <v>273</v>
      </c>
      <c r="R61" s="5" t="s">
        <v>7</v>
      </c>
      <c r="S61" s="4">
        <f>WEEKNUM(L61)</f>
        <v>1</v>
      </c>
    </row>
    <row r="62" spans="1:19" x14ac:dyDescent="0.35">
      <c r="A62" s="22">
        <v>61</v>
      </c>
      <c r="B62" s="22" t="s">
        <v>325</v>
      </c>
      <c r="C62" s="35" t="s">
        <v>324</v>
      </c>
      <c r="D62" s="14" t="s">
        <v>276</v>
      </c>
      <c r="E62" s="20">
        <v>5633884120</v>
      </c>
      <c r="F62" s="9">
        <v>45294</v>
      </c>
      <c r="G62" s="34"/>
      <c r="H62" s="33"/>
      <c r="I62" s="31" t="s">
        <v>275</v>
      </c>
      <c r="J62" s="9">
        <v>45294</v>
      </c>
      <c r="K62" s="9">
        <v>45295</v>
      </c>
      <c r="L62" s="9">
        <v>45295</v>
      </c>
      <c r="M62" s="31" t="s">
        <v>1</v>
      </c>
      <c r="N62" s="31"/>
      <c r="O62" s="31" t="s">
        <v>274</v>
      </c>
      <c r="P62" s="32"/>
      <c r="Q62" s="31" t="s">
        <v>273</v>
      </c>
      <c r="R62" s="5" t="s">
        <v>7</v>
      </c>
      <c r="S62" s="4">
        <f>WEEKNUM(L62)</f>
        <v>1</v>
      </c>
    </row>
    <row r="63" spans="1:19" x14ac:dyDescent="0.35">
      <c r="A63" s="22">
        <v>62</v>
      </c>
      <c r="B63" s="22"/>
      <c r="C63" s="35" t="s">
        <v>323</v>
      </c>
      <c r="D63" s="14" t="s">
        <v>276</v>
      </c>
      <c r="E63" s="20">
        <v>5526587455</v>
      </c>
      <c r="F63" s="9">
        <v>44930</v>
      </c>
      <c r="G63" s="34"/>
      <c r="H63" s="33"/>
      <c r="I63" s="31" t="s">
        <v>275</v>
      </c>
      <c r="J63" s="9">
        <v>45295</v>
      </c>
      <c r="K63" s="9"/>
      <c r="L63" s="9"/>
      <c r="M63" s="31" t="s">
        <v>280</v>
      </c>
      <c r="N63" s="31" t="s">
        <v>282</v>
      </c>
      <c r="O63" s="31" t="s">
        <v>274</v>
      </c>
      <c r="P63" s="32"/>
      <c r="Q63" s="31" t="s">
        <v>273</v>
      </c>
      <c r="R63" s="5"/>
      <c r="S63" s="4">
        <f>WEEKNUM(L63)</f>
        <v>0</v>
      </c>
    </row>
    <row r="64" spans="1:19" x14ac:dyDescent="0.35">
      <c r="A64" s="22">
        <v>63</v>
      </c>
      <c r="B64" s="22"/>
      <c r="C64" s="35" t="s">
        <v>322</v>
      </c>
      <c r="D64" s="14" t="s">
        <v>276</v>
      </c>
      <c r="E64" s="20">
        <v>5512177652</v>
      </c>
      <c r="F64" s="9">
        <v>44930</v>
      </c>
      <c r="G64" s="34"/>
      <c r="H64" s="33"/>
      <c r="I64" s="31" t="s">
        <v>275</v>
      </c>
      <c r="J64" s="9">
        <v>44930</v>
      </c>
      <c r="K64" s="9"/>
      <c r="L64" s="9"/>
      <c r="M64" s="31" t="s">
        <v>280</v>
      </c>
      <c r="N64" s="31" t="s">
        <v>282</v>
      </c>
      <c r="O64" s="31" t="s">
        <v>274</v>
      </c>
      <c r="P64" s="32"/>
      <c r="Q64" s="31" t="s">
        <v>273</v>
      </c>
      <c r="R64" s="5"/>
      <c r="S64" s="4">
        <f>WEEKNUM(L64)</f>
        <v>0</v>
      </c>
    </row>
    <row r="65" spans="1:19" x14ac:dyDescent="0.35">
      <c r="A65" s="22">
        <v>64</v>
      </c>
      <c r="B65" s="22" t="s">
        <v>321</v>
      </c>
      <c r="C65" s="35" t="s">
        <v>320</v>
      </c>
      <c r="D65" s="14" t="s">
        <v>276</v>
      </c>
      <c r="E65" s="20">
        <v>5542839731</v>
      </c>
      <c r="F65" s="9">
        <v>44930</v>
      </c>
      <c r="G65" s="34"/>
      <c r="H65" s="33"/>
      <c r="I65" s="31" t="s">
        <v>275</v>
      </c>
      <c r="J65" s="9">
        <v>44930</v>
      </c>
      <c r="K65" s="9">
        <v>44930</v>
      </c>
      <c r="L65" s="9">
        <v>45296</v>
      </c>
      <c r="M65" s="31" t="s">
        <v>1</v>
      </c>
      <c r="N65" s="31"/>
      <c r="O65" s="31" t="s">
        <v>274</v>
      </c>
      <c r="P65" s="32"/>
      <c r="Q65" s="31" t="s">
        <v>273</v>
      </c>
      <c r="R65" s="5" t="s">
        <v>7</v>
      </c>
      <c r="S65" s="4">
        <f>WEEKNUM(L65)</f>
        <v>1</v>
      </c>
    </row>
    <row r="66" spans="1:19" x14ac:dyDescent="0.35">
      <c r="A66" s="22">
        <v>65</v>
      </c>
      <c r="B66" s="22"/>
      <c r="C66" s="35" t="s">
        <v>319</v>
      </c>
      <c r="D66" s="14" t="s">
        <v>276</v>
      </c>
      <c r="E66" s="20">
        <v>5534736358</v>
      </c>
      <c r="F66" s="9">
        <v>44930</v>
      </c>
      <c r="G66" s="34"/>
      <c r="H66" s="33"/>
      <c r="I66" s="31" t="s">
        <v>275</v>
      </c>
      <c r="J66" s="9">
        <v>44930</v>
      </c>
      <c r="K66" s="9"/>
      <c r="L66" s="9"/>
      <c r="M66" s="31" t="s">
        <v>280</v>
      </c>
      <c r="N66" s="31" t="s">
        <v>318</v>
      </c>
      <c r="O66" s="31" t="s">
        <v>274</v>
      </c>
      <c r="P66" s="32"/>
      <c r="Q66" s="31" t="s">
        <v>273</v>
      </c>
      <c r="R66" s="5"/>
      <c r="S66" s="4">
        <f>WEEKNUM(L66)</f>
        <v>0</v>
      </c>
    </row>
    <row r="67" spans="1:19" x14ac:dyDescent="0.35">
      <c r="A67" s="22">
        <v>66</v>
      </c>
      <c r="B67" s="22"/>
      <c r="C67" s="35" t="s">
        <v>317</v>
      </c>
      <c r="D67" s="14" t="s">
        <v>276</v>
      </c>
      <c r="E67" s="20">
        <v>5540557138</v>
      </c>
      <c r="F67" s="9">
        <v>44930</v>
      </c>
      <c r="G67" s="34"/>
      <c r="H67" s="33"/>
      <c r="I67" s="31" t="s">
        <v>275</v>
      </c>
      <c r="J67" s="9">
        <v>44930</v>
      </c>
      <c r="K67" s="9"/>
      <c r="L67" s="9"/>
      <c r="M67" s="31" t="s">
        <v>280</v>
      </c>
      <c r="N67" s="31" t="s">
        <v>316</v>
      </c>
      <c r="O67" s="31" t="s">
        <v>274</v>
      </c>
      <c r="P67" s="32"/>
      <c r="Q67" s="31" t="s">
        <v>273</v>
      </c>
      <c r="R67" s="5"/>
      <c r="S67" s="4">
        <f>WEEKNUM(L67)</f>
        <v>0</v>
      </c>
    </row>
    <row r="68" spans="1:19" x14ac:dyDescent="0.35">
      <c r="A68" s="22">
        <v>67</v>
      </c>
      <c r="B68" s="22" t="s">
        <v>315</v>
      </c>
      <c r="C68" s="35" t="s">
        <v>314</v>
      </c>
      <c r="D68" s="14" t="s">
        <v>276</v>
      </c>
      <c r="E68" s="20">
        <v>5558859951</v>
      </c>
      <c r="F68" s="9">
        <v>44930</v>
      </c>
      <c r="G68" s="34"/>
      <c r="H68" s="33"/>
      <c r="I68" s="31" t="s">
        <v>275</v>
      </c>
      <c r="J68" s="9">
        <v>44930</v>
      </c>
      <c r="K68" s="9">
        <v>44930</v>
      </c>
      <c r="L68" s="9">
        <v>45296</v>
      </c>
      <c r="M68" s="31" t="s">
        <v>1</v>
      </c>
      <c r="N68" s="31"/>
      <c r="O68" s="31" t="s">
        <v>274</v>
      </c>
      <c r="P68" s="32"/>
      <c r="Q68" s="31" t="s">
        <v>273</v>
      </c>
      <c r="R68" s="5" t="s">
        <v>7</v>
      </c>
      <c r="S68" s="4">
        <f>WEEKNUM(L68)</f>
        <v>1</v>
      </c>
    </row>
    <row r="69" spans="1:19" x14ac:dyDescent="0.35">
      <c r="A69" s="22">
        <v>68</v>
      </c>
      <c r="B69" s="22"/>
      <c r="C69" s="35" t="s">
        <v>313</v>
      </c>
      <c r="D69" s="14" t="s">
        <v>276</v>
      </c>
      <c r="E69" s="20">
        <v>5583417686</v>
      </c>
      <c r="F69" s="9">
        <v>44930</v>
      </c>
      <c r="G69" s="34"/>
      <c r="H69" s="33"/>
      <c r="I69" s="31" t="s">
        <v>275</v>
      </c>
      <c r="J69" s="9">
        <v>44930</v>
      </c>
      <c r="K69" s="9"/>
      <c r="L69" s="9"/>
      <c r="M69" s="31" t="s">
        <v>280</v>
      </c>
      <c r="N69" s="31" t="s">
        <v>282</v>
      </c>
      <c r="O69" s="31" t="s">
        <v>274</v>
      </c>
      <c r="P69" s="32"/>
      <c r="Q69" s="31" t="s">
        <v>273</v>
      </c>
      <c r="R69" s="5"/>
      <c r="S69" s="4">
        <f>WEEKNUM(L69)</f>
        <v>0</v>
      </c>
    </row>
    <row r="70" spans="1:19" x14ac:dyDescent="0.35">
      <c r="A70" s="22">
        <v>69</v>
      </c>
      <c r="B70" s="22" t="s">
        <v>312</v>
      </c>
      <c r="C70" s="35" t="s">
        <v>311</v>
      </c>
      <c r="D70" s="14" t="s">
        <v>276</v>
      </c>
      <c r="E70" s="20">
        <v>5548359400</v>
      </c>
      <c r="F70" s="9">
        <v>44930</v>
      </c>
      <c r="G70" s="34"/>
      <c r="H70" s="33"/>
      <c r="I70" s="31" t="s">
        <v>275</v>
      </c>
      <c r="J70" s="9">
        <v>44930</v>
      </c>
      <c r="K70" s="9"/>
      <c r="L70" s="9">
        <v>45301</v>
      </c>
      <c r="M70" s="31" t="s">
        <v>280</v>
      </c>
      <c r="N70" s="31" t="s">
        <v>289</v>
      </c>
      <c r="O70" s="31" t="s">
        <v>274</v>
      </c>
      <c r="P70" s="32"/>
      <c r="Q70" s="31" t="s">
        <v>273</v>
      </c>
      <c r="R70" s="5" t="s">
        <v>7</v>
      </c>
      <c r="S70" s="4">
        <f>WEEKNUM(L70)</f>
        <v>2</v>
      </c>
    </row>
    <row r="71" spans="1:19" x14ac:dyDescent="0.35">
      <c r="A71" s="22">
        <v>70</v>
      </c>
      <c r="B71" s="22" t="s">
        <v>310</v>
      </c>
      <c r="C71" s="35" t="s">
        <v>309</v>
      </c>
      <c r="D71" s="14" t="s">
        <v>276</v>
      </c>
      <c r="E71" s="20">
        <v>5537933192</v>
      </c>
      <c r="F71" s="9">
        <v>44930</v>
      </c>
      <c r="G71" s="34"/>
      <c r="H71" s="33"/>
      <c r="I71" s="31" t="s">
        <v>275</v>
      </c>
      <c r="J71" s="9">
        <v>44930</v>
      </c>
      <c r="K71" s="9"/>
      <c r="L71" s="9">
        <v>45300</v>
      </c>
      <c r="M71" s="31" t="s">
        <v>280</v>
      </c>
      <c r="N71" s="31" t="s">
        <v>289</v>
      </c>
      <c r="O71" s="31" t="s">
        <v>274</v>
      </c>
      <c r="P71" s="32"/>
      <c r="Q71" s="31" t="s">
        <v>273</v>
      </c>
      <c r="R71" s="5" t="s">
        <v>13</v>
      </c>
      <c r="S71" s="4">
        <f>WEEKNUM(L71)</f>
        <v>2</v>
      </c>
    </row>
    <row r="72" spans="1:19" x14ac:dyDescent="0.35">
      <c r="A72" s="22">
        <v>71</v>
      </c>
      <c r="B72" s="22"/>
      <c r="C72" s="35" t="s">
        <v>308</v>
      </c>
      <c r="D72" s="14" t="s">
        <v>276</v>
      </c>
      <c r="E72" s="20">
        <v>5585916871</v>
      </c>
      <c r="F72" s="9">
        <v>44930</v>
      </c>
      <c r="G72" s="34"/>
      <c r="H72" s="33"/>
      <c r="I72" s="31" t="s">
        <v>275</v>
      </c>
      <c r="J72" s="9">
        <v>44930</v>
      </c>
      <c r="K72" s="9">
        <v>45299</v>
      </c>
      <c r="L72" s="9">
        <v>45300</v>
      </c>
      <c r="M72" s="31" t="s">
        <v>1</v>
      </c>
      <c r="N72" s="31"/>
      <c r="O72" s="31" t="s">
        <v>274</v>
      </c>
      <c r="P72" s="32"/>
      <c r="Q72" s="31" t="s">
        <v>273</v>
      </c>
      <c r="R72" s="5"/>
      <c r="S72" s="4">
        <f>WEEKNUM(L72)</f>
        <v>2</v>
      </c>
    </row>
    <row r="73" spans="1:19" x14ac:dyDescent="0.35">
      <c r="A73" s="22">
        <v>72</v>
      </c>
      <c r="B73" s="22"/>
      <c r="C73" s="35" t="s">
        <v>307</v>
      </c>
      <c r="D73" s="14" t="s">
        <v>276</v>
      </c>
      <c r="E73" s="20">
        <v>5615101225</v>
      </c>
      <c r="F73" s="9">
        <v>44930</v>
      </c>
      <c r="G73" s="34"/>
      <c r="H73" s="33"/>
      <c r="I73" s="31" t="s">
        <v>275</v>
      </c>
      <c r="J73" s="9">
        <v>44930</v>
      </c>
      <c r="K73" s="9">
        <v>45299</v>
      </c>
      <c r="L73" s="9">
        <v>45300</v>
      </c>
      <c r="M73" s="31" t="s">
        <v>1</v>
      </c>
      <c r="N73" s="31"/>
      <c r="O73" s="31" t="s">
        <v>274</v>
      </c>
      <c r="P73" s="32"/>
      <c r="Q73" s="31" t="s">
        <v>273</v>
      </c>
      <c r="R73" s="5"/>
      <c r="S73" s="4">
        <f>WEEKNUM(L73)</f>
        <v>2</v>
      </c>
    </row>
    <row r="74" spans="1:19" x14ac:dyDescent="0.35">
      <c r="A74" s="22">
        <v>73</v>
      </c>
      <c r="B74" s="22" t="s">
        <v>306</v>
      </c>
      <c r="C74" s="30" t="s">
        <v>305</v>
      </c>
      <c r="D74" s="29" t="s">
        <v>276</v>
      </c>
      <c r="E74" s="13">
        <v>5614584709</v>
      </c>
      <c r="F74" s="10">
        <v>44931</v>
      </c>
      <c r="G74" s="28"/>
      <c r="H74" s="27"/>
      <c r="I74" s="25" t="s">
        <v>275</v>
      </c>
      <c r="J74" s="10">
        <v>44930</v>
      </c>
      <c r="K74" s="10">
        <v>45299</v>
      </c>
      <c r="L74" s="10">
        <v>45300</v>
      </c>
      <c r="M74" s="25" t="s">
        <v>1</v>
      </c>
      <c r="N74" s="25"/>
      <c r="O74" s="25" t="s">
        <v>274</v>
      </c>
      <c r="P74" s="26"/>
      <c r="Q74" s="25" t="s">
        <v>273</v>
      </c>
      <c r="R74" s="5" t="s">
        <v>13</v>
      </c>
      <c r="S74" s="4">
        <f>WEEKNUM(L74)</f>
        <v>2</v>
      </c>
    </row>
    <row r="75" spans="1:19" x14ac:dyDescent="0.35">
      <c r="A75" s="22">
        <v>74</v>
      </c>
      <c r="B75" s="22" t="s">
        <v>304</v>
      </c>
      <c r="C75" s="24" t="s">
        <v>303</v>
      </c>
      <c r="D75" s="14" t="s">
        <v>276</v>
      </c>
      <c r="E75" s="20">
        <v>5546484064</v>
      </c>
      <c r="F75" s="9">
        <v>45299</v>
      </c>
      <c r="G75" s="19"/>
      <c r="H75" s="23"/>
      <c r="I75" s="8" t="s">
        <v>275</v>
      </c>
      <c r="J75" s="9">
        <v>45299</v>
      </c>
      <c r="K75" s="9">
        <v>45300</v>
      </c>
      <c r="L75" s="9">
        <v>45301</v>
      </c>
      <c r="M75" s="8" t="s">
        <v>1</v>
      </c>
      <c r="N75" s="8"/>
      <c r="O75" s="8" t="s">
        <v>274</v>
      </c>
      <c r="P75" s="17"/>
      <c r="Q75" s="8" t="s">
        <v>273</v>
      </c>
      <c r="R75" s="5" t="s">
        <v>22</v>
      </c>
      <c r="S75" s="4">
        <f>WEEKNUM(L75)</f>
        <v>2</v>
      </c>
    </row>
    <row r="76" spans="1:19" x14ac:dyDescent="0.35">
      <c r="A76" s="22">
        <v>75</v>
      </c>
      <c r="B76" s="22" t="s">
        <v>302</v>
      </c>
      <c r="C76" s="24" t="s">
        <v>301</v>
      </c>
      <c r="D76" s="14" t="s">
        <v>276</v>
      </c>
      <c r="E76" s="20">
        <v>5634631316</v>
      </c>
      <c r="F76" s="9">
        <v>45299</v>
      </c>
      <c r="G76" s="19"/>
      <c r="H76" s="23"/>
      <c r="I76" s="8" t="s">
        <v>275</v>
      </c>
      <c r="J76" s="9">
        <v>45299</v>
      </c>
      <c r="K76" s="9">
        <v>45300</v>
      </c>
      <c r="L76" s="9">
        <v>45301</v>
      </c>
      <c r="M76" s="8" t="s">
        <v>1</v>
      </c>
      <c r="N76" s="8"/>
      <c r="O76" s="8" t="s">
        <v>274</v>
      </c>
      <c r="P76" s="17"/>
      <c r="Q76" s="8" t="s">
        <v>273</v>
      </c>
      <c r="R76" s="5" t="s">
        <v>22</v>
      </c>
      <c r="S76" s="4">
        <f>WEEKNUM(L76)</f>
        <v>2</v>
      </c>
    </row>
    <row r="77" spans="1:19" x14ac:dyDescent="0.35">
      <c r="A77" s="22">
        <v>76</v>
      </c>
      <c r="B77" s="22" t="s">
        <v>300</v>
      </c>
      <c r="C77" s="24" t="s">
        <v>299</v>
      </c>
      <c r="D77" s="14" t="s">
        <v>276</v>
      </c>
      <c r="E77" s="20">
        <v>5514837093</v>
      </c>
      <c r="F77" s="9">
        <v>45300</v>
      </c>
      <c r="G77" s="19"/>
      <c r="H77" s="23"/>
      <c r="I77" s="8" t="s">
        <v>275</v>
      </c>
      <c r="J77" s="9">
        <v>45300</v>
      </c>
      <c r="K77" s="9">
        <v>45300</v>
      </c>
      <c r="L77" s="9">
        <v>45301</v>
      </c>
      <c r="M77" s="8" t="s">
        <v>1</v>
      </c>
      <c r="N77" s="8"/>
      <c r="O77" s="8" t="s">
        <v>274</v>
      </c>
      <c r="P77" s="17"/>
      <c r="Q77" s="8" t="s">
        <v>273</v>
      </c>
      <c r="R77" s="5" t="s">
        <v>22</v>
      </c>
      <c r="S77" s="4">
        <f>WEEKNUM(L77)</f>
        <v>2</v>
      </c>
    </row>
    <row r="78" spans="1:19" x14ac:dyDescent="0.35">
      <c r="A78" s="22">
        <v>77</v>
      </c>
      <c r="B78" s="22"/>
      <c r="C78" s="24" t="s">
        <v>298</v>
      </c>
      <c r="D78" s="14" t="s">
        <v>292</v>
      </c>
      <c r="E78" s="20">
        <v>5624141090</v>
      </c>
      <c r="F78" s="9">
        <v>45300</v>
      </c>
      <c r="G78" s="19"/>
      <c r="H78" s="23"/>
      <c r="I78" s="8" t="s">
        <v>275</v>
      </c>
      <c r="J78" s="9">
        <v>45300</v>
      </c>
      <c r="K78" s="9"/>
      <c r="L78" s="9"/>
      <c r="M78" s="8" t="s">
        <v>280</v>
      </c>
      <c r="N78" s="8" t="s">
        <v>291</v>
      </c>
      <c r="O78" s="8" t="s">
        <v>274</v>
      </c>
      <c r="P78" s="17"/>
      <c r="Q78" s="8" t="s">
        <v>273</v>
      </c>
      <c r="R78" s="5"/>
      <c r="S78" s="4">
        <f>WEEKNUM(L78)</f>
        <v>0</v>
      </c>
    </row>
    <row r="79" spans="1:19" x14ac:dyDescent="0.35">
      <c r="A79" s="22">
        <v>78</v>
      </c>
      <c r="B79" s="22"/>
      <c r="C79" s="24" t="s">
        <v>297</v>
      </c>
      <c r="D79" s="14" t="s">
        <v>292</v>
      </c>
      <c r="E79" s="20">
        <v>5516902155</v>
      </c>
      <c r="F79" s="9">
        <v>45300</v>
      </c>
      <c r="G79" s="19"/>
      <c r="H79" s="23"/>
      <c r="I79" s="8" t="s">
        <v>275</v>
      </c>
      <c r="J79" s="9">
        <v>45300</v>
      </c>
      <c r="K79" s="9"/>
      <c r="L79" s="9"/>
      <c r="M79" s="8" t="s">
        <v>280</v>
      </c>
      <c r="N79" s="8" t="s">
        <v>295</v>
      </c>
      <c r="O79" s="8" t="s">
        <v>274</v>
      </c>
      <c r="P79" s="17"/>
      <c r="Q79" s="8" t="s">
        <v>273</v>
      </c>
      <c r="R79" s="5"/>
      <c r="S79" s="4">
        <f>WEEKNUM(L79)</f>
        <v>0</v>
      </c>
    </row>
    <row r="80" spans="1:19" x14ac:dyDescent="0.35">
      <c r="A80" s="22">
        <v>79</v>
      </c>
      <c r="B80" s="22"/>
      <c r="C80" s="24" t="s">
        <v>296</v>
      </c>
      <c r="D80" s="14" t="s">
        <v>292</v>
      </c>
      <c r="E80" s="20">
        <v>5611050442</v>
      </c>
      <c r="F80" s="9">
        <v>45300</v>
      </c>
      <c r="G80" s="19"/>
      <c r="H80" s="23"/>
      <c r="I80" s="8" t="s">
        <v>275</v>
      </c>
      <c r="J80" s="9">
        <v>45300</v>
      </c>
      <c r="K80" s="9"/>
      <c r="L80" s="9"/>
      <c r="M80" s="8" t="s">
        <v>280</v>
      </c>
      <c r="N80" s="8" t="s">
        <v>295</v>
      </c>
      <c r="O80" s="8" t="s">
        <v>274</v>
      </c>
      <c r="P80" s="17"/>
      <c r="Q80" s="8" t="s">
        <v>273</v>
      </c>
      <c r="R80" s="5"/>
      <c r="S80" s="4">
        <f>WEEKNUM(L80)</f>
        <v>0</v>
      </c>
    </row>
    <row r="81" spans="1:19" x14ac:dyDescent="0.35">
      <c r="A81" s="22">
        <v>80</v>
      </c>
      <c r="B81" s="22"/>
      <c r="C81" s="24" t="s">
        <v>294</v>
      </c>
      <c r="D81" s="14" t="s">
        <v>276</v>
      </c>
      <c r="E81" s="20">
        <v>5611335691</v>
      </c>
      <c r="F81" s="9">
        <v>45301</v>
      </c>
      <c r="G81" s="19"/>
      <c r="H81" s="23"/>
      <c r="I81" s="8" t="s">
        <v>275</v>
      </c>
      <c r="J81" s="9">
        <v>45301</v>
      </c>
      <c r="K81" s="9"/>
      <c r="L81" s="9"/>
      <c r="M81" s="8" t="s">
        <v>280</v>
      </c>
      <c r="N81" s="8" t="s">
        <v>282</v>
      </c>
      <c r="O81" s="8" t="s">
        <v>274</v>
      </c>
      <c r="P81" s="17"/>
      <c r="Q81" s="8" t="s">
        <v>273</v>
      </c>
      <c r="R81" s="5"/>
      <c r="S81" s="4">
        <f>WEEKNUM(L81)</f>
        <v>0</v>
      </c>
    </row>
    <row r="82" spans="1:19" x14ac:dyDescent="0.35">
      <c r="A82" s="22">
        <v>81</v>
      </c>
      <c r="B82" s="22"/>
      <c r="C82" s="24" t="s">
        <v>293</v>
      </c>
      <c r="D82" s="14" t="s">
        <v>292</v>
      </c>
      <c r="E82" s="20">
        <v>5574809373</v>
      </c>
      <c r="F82" s="9">
        <v>45301</v>
      </c>
      <c r="G82" s="19"/>
      <c r="H82" s="23"/>
      <c r="I82" s="8" t="s">
        <v>275</v>
      </c>
      <c r="J82" s="9">
        <v>45301</v>
      </c>
      <c r="K82" s="9"/>
      <c r="L82" s="9"/>
      <c r="M82" s="8" t="s">
        <v>280</v>
      </c>
      <c r="N82" s="8" t="s">
        <v>291</v>
      </c>
      <c r="O82" s="8" t="s">
        <v>274</v>
      </c>
      <c r="P82" s="17"/>
      <c r="Q82" s="8" t="s">
        <v>273</v>
      </c>
      <c r="R82" s="5"/>
      <c r="S82" s="4">
        <f>WEEKNUM(L82)</f>
        <v>0</v>
      </c>
    </row>
    <row r="83" spans="1:19" x14ac:dyDescent="0.35">
      <c r="A83" s="22">
        <v>82</v>
      </c>
      <c r="B83" s="22"/>
      <c r="C83" s="24" t="s">
        <v>290</v>
      </c>
      <c r="D83" s="14" t="s">
        <v>276</v>
      </c>
      <c r="E83" s="20">
        <v>5634364543</v>
      </c>
      <c r="F83" s="9">
        <v>45302</v>
      </c>
      <c r="G83" s="19"/>
      <c r="H83" s="23"/>
      <c r="I83" s="8" t="s">
        <v>275</v>
      </c>
      <c r="J83" s="9">
        <v>45302</v>
      </c>
      <c r="K83" s="9"/>
      <c r="L83" s="9"/>
      <c r="M83" s="8" t="s">
        <v>280</v>
      </c>
      <c r="N83" s="8" t="s">
        <v>289</v>
      </c>
      <c r="O83" s="8" t="s">
        <v>274</v>
      </c>
      <c r="P83" s="17"/>
      <c r="Q83" s="8" t="s">
        <v>273</v>
      </c>
      <c r="R83" s="5"/>
      <c r="S83" s="4">
        <f>WEEKNUM(L83)</f>
        <v>0</v>
      </c>
    </row>
    <row r="84" spans="1:19" x14ac:dyDescent="0.35">
      <c r="A84" s="22">
        <v>83</v>
      </c>
      <c r="B84" s="22" t="s">
        <v>288</v>
      </c>
      <c r="C84" s="24" t="s">
        <v>287</v>
      </c>
      <c r="D84" s="14" t="s">
        <v>276</v>
      </c>
      <c r="E84" s="20">
        <v>5637136806</v>
      </c>
      <c r="F84" s="9">
        <v>45302</v>
      </c>
      <c r="G84" s="19"/>
      <c r="H84" s="23"/>
      <c r="I84" s="8" t="s">
        <v>275</v>
      </c>
      <c r="J84" s="9">
        <v>45302</v>
      </c>
      <c r="K84" s="9">
        <v>45307</v>
      </c>
      <c r="L84" s="9">
        <v>45308</v>
      </c>
      <c r="M84" s="8" t="s">
        <v>286</v>
      </c>
      <c r="N84" s="8"/>
      <c r="O84" s="8" t="s">
        <v>274</v>
      </c>
      <c r="P84" s="17"/>
      <c r="Q84" s="8" t="s">
        <v>273</v>
      </c>
      <c r="R84" s="5" t="s">
        <v>22</v>
      </c>
      <c r="S84" s="4">
        <f>WEEKNUM(L84)</f>
        <v>3</v>
      </c>
    </row>
    <row r="85" spans="1:19" x14ac:dyDescent="0.35">
      <c r="A85" s="22">
        <v>84</v>
      </c>
      <c r="B85" s="22" t="s">
        <v>285</v>
      </c>
      <c r="C85" s="24" t="s">
        <v>284</v>
      </c>
      <c r="D85" s="14" t="s">
        <v>276</v>
      </c>
      <c r="E85" s="20">
        <v>5513216023</v>
      </c>
      <c r="F85" s="9">
        <v>45303</v>
      </c>
      <c r="G85" s="19"/>
      <c r="H85" s="23"/>
      <c r="I85" s="8" t="s">
        <v>275</v>
      </c>
      <c r="J85" s="9">
        <v>45303</v>
      </c>
      <c r="K85" s="9">
        <v>45303</v>
      </c>
      <c r="L85" s="9">
        <v>45306</v>
      </c>
      <c r="M85" s="8" t="s">
        <v>1</v>
      </c>
      <c r="N85" s="8"/>
      <c r="O85" s="8" t="s">
        <v>274</v>
      </c>
      <c r="P85" s="17"/>
      <c r="Q85" s="8" t="s">
        <v>273</v>
      </c>
      <c r="R85" s="5" t="s">
        <v>22</v>
      </c>
      <c r="S85" s="4">
        <f>WEEKNUM(L85)</f>
        <v>3</v>
      </c>
    </row>
    <row r="86" spans="1:19" x14ac:dyDescent="0.35">
      <c r="A86" s="22">
        <v>85</v>
      </c>
      <c r="B86" s="22"/>
      <c r="C86" s="24" t="s">
        <v>283</v>
      </c>
      <c r="D86" s="14" t="s">
        <v>276</v>
      </c>
      <c r="E86" s="20">
        <v>5572684160</v>
      </c>
      <c r="F86" s="9">
        <v>45303</v>
      </c>
      <c r="G86" s="19"/>
      <c r="H86" s="23"/>
      <c r="I86" s="8" t="s">
        <v>275</v>
      </c>
      <c r="J86" s="9">
        <v>45303</v>
      </c>
      <c r="K86" s="9"/>
      <c r="L86" s="9"/>
      <c r="M86" s="8" t="s">
        <v>280</v>
      </c>
      <c r="N86" s="8" t="s">
        <v>282</v>
      </c>
      <c r="O86" s="8" t="s">
        <v>274</v>
      </c>
      <c r="P86" s="17"/>
      <c r="Q86" s="8" t="s">
        <v>273</v>
      </c>
      <c r="R86" s="5"/>
      <c r="S86" s="4">
        <f>WEEKNUM(L86)</f>
        <v>0</v>
      </c>
    </row>
    <row r="87" spans="1:19" x14ac:dyDescent="0.35">
      <c r="A87" s="22">
        <v>86</v>
      </c>
      <c r="B87" s="22"/>
      <c r="C87" s="24" t="s">
        <v>281</v>
      </c>
      <c r="D87" s="14" t="s">
        <v>276</v>
      </c>
      <c r="E87" s="20">
        <v>5614074494</v>
      </c>
      <c r="F87" s="9">
        <v>45303</v>
      </c>
      <c r="G87" s="19"/>
      <c r="H87" s="23"/>
      <c r="I87" s="8" t="s">
        <v>275</v>
      </c>
      <c r="J87" s="9">
        <v>45303</v>
      </c>
      <c r="K87" s="9"/>
      <c r="L87" s="9"/>
      <c r="M87" s="8" t="s">
        <v>280</v>
      </c>
      <c r="N87" s="8" t="s">
        <v>279</v>
      </c>
      <c r="O87" s="8" t="s">
        <v>274</v>
      </c>
      <c r="P87" s="17"/>
      <c r="Q87" s="8" t="s">
        <v>273</v>
      </c>
      <c r="R87" s="5"/>
      <c r="S87" s="4">
        <f>WEEKNUM(L87)</f>
        <v>0</v>
      </c>
    </row>
    <row r="88" spans="1:19" x14ac:dyDescent="0.35">
      <c r="A88" s="22">
        <v>87</v>
      </c>
      <c r="B88" s="22" t="s">
        <v>278</v>
      </c>
      <c r="C88" s="24" t="s">
        <v>277</v>
      </c>
      <c r="D88" s="14" t="s">
        <v>276</v>
      </c>
      <c r="E88" s="20">
        <v>5631117974</v>
      </c>
      <c r="F88" s="9">
        <v>45307</v>
      </c>
      <c r="G88" s="19"/>
      <c r="H88" s="23"/>
      <c r="I88" s="8" t="s">
        <v>275</v>
      </c>
      <c r="J88" s="9">
        <v>45307</v>
      </c>
      <c r="K88" s="9">
        <v>45307</v>
      </c>
      <c r="L88" s="9">
        <v>45308</v>
      </c>
      <c r="M88" s="8" t="s">
        <v>1</v>
      </c>
      <c r="N88" s="8"/>
      <c r="O88" s="8" t="s">
        <v>274</v>
      </c>
      <c r="P88" s="17"/>
      <c r="Q88" s="8" t="s">
        <v>273</v>
      </c>
      <c r="R88" s="5" t="s">
        <v>22</v>
      </c>
      <c r="S88" s="4">
        <f>WEEKNUM(L88)</f>
        <v>3</v>
      </c>
    </row>
    <row r="89" spans="1:19" x14ac:dyDescent="0.35">
      <c r="A89" s="22"/>
      <c r="B89" s="22" t="s">
        <v>272</v>
      </c>
      <c r="C89" s="21" t="s">
        <v>271</v>
      </c>
      <c r="D89" s="14" t="str">
        <f>VLOOKUP(RyS[[#This Row],[NOM]],'[1]Sheet 1'!$A$4:$AR$187,3,0)</f>
        <v>ANALISTA DE OPERACIONES</v>
      </c>
      <c r="E89" s="20"/>
      <c r="F89" s="9"/>
      <c r="G89" s="19"/>
      <c r="H89" s="18"/>
      <c r="I89" s="8"/>
      <c r="J89" s="9"/>
      <c r="K89" s="9"/>
      <c r="L89" s="9">
        <v>45314</v>
      </c>
      <c r="M89" s="8" t="s">
        <v>1</v>
      </c>
      <c r="N89" s="8"/>
      <c r="O89" s="8"/>
      <c r="P89" s="17"/>
      <c r="Q89" s="8"/>
      <c r="R89" s="5" t="s">
        <v>27</v>
      </c>
      <c r="S89" s="4">
        <f>WEEKNUM(L89)</f>
        <v>4</v>
      </c>
    </row>
    <row r="90" spans="1:19" x14ac:dyDescent="0.35">
      <c r="A90" s="22"/>
      <c r="B90" s="22" t="s">
        <v>270</v>
      </c>
      <c r="C90" s="21" t="s">
        <v>269</v>
      </c>
      <c r="D90" s="14" t="str">
        <f>VLOOKUP(RyS[[#This Row],[NOM]],'[1]Sheet 1'!$A$4:$AR$187,3,0)</f>
        <v>AYUDANTE GENERAL</v>
      </c>
      <c r="E90" s="20"/>
      <c r="F90" s="9"/>
      <c r="G90" s="19"/>
      <c r="H90" s="18"/>
      <c r="I90" s="8"/>
      <c r="J90" s="9"/>
      <c r="K90" s="9"/>
      <c r="L90" s="9">
        <v>45315</v>
      </c>
      <c r="M90" s="8" t="s">
        <v>1</v>
      </c>
      <c r="N90" s="8"/>
      <c r="O90" s="8"/>
      <c r="P90" s="17"/>
      <c r="Q90" s="8"/>
      <c r="R90" s="5" t="s">
        <v>10</v>
      </c>
      <c r="S90" s="4">
        <f>WEEKNUM(L90)</f>
        <v>4</v>
      </c>
    </row>
    <row r="91" spans="1:19" x14ac:dyDescent="0.35">
      <c r="A91" s="22"/>
      <c r="B91" s="22" t="s">
        <v>268</v>
      </c>
      <c r="C91" s="21" t="s">
        <v>267</v>
      </c>
      <c r="D91" s="14" t="str">
        <f>VLOOKUP(RyS[[#This Row],[NOM]],'[1]Sheet 1'!$A$4:$AR$187,3,0)</f>
        <v>AUXILIAR DE OPERACIONES</v>
      </c>
      <c r="E91" s="20"/>
      <c r="F91" s="9"/>
      <c r="G91" s="19"/>
      <c r="H91" s="18"/>
      <c r="I91" s="8"/>
      <c r="J91" s="9"/>
      <c r="K91" s="9"/>
      <c r="L91" s="9">
        <v>45323</v>
      </c>
      <c r="M91" s="8" t="s">
        <v>1</v>
      </c>
      <c r="N91" s="8"/>
      <c r="O91" s="8"/>
      <c r="P91" s="17"/>
      <c r="Q91" s="8"/>
      <c r="R91" s="5" t="s">
        <v>13</v>
      </c>
      <c r="S91" s="4">
        <f>WEEKNUM(L91)</f>
        <v>5</v>
      </c>
    </row>
    <row r="92" spans="1:19" x14ac:dyDescent="0.35">
      <c r="A92" s="22"/>
      <c r="B92" s="22" t="s">
        <v>266</v>
      </c>
      <c r="C92" s="21" t="s">
        <v>265</v>
      </c>
      <c r="D92" s="14" t="str">
        <f>VLOOKUP(RyS[[#This Row],[NOM]],'[1]Sheet 1'!$A$4:$AR$187,3,0)</f>
        <v>AUXILIAR DE SERVICIOS GENERALES</v>
      </c>
      <c r="E92" s="20"/>
      <c r="F92" s="9"/>
      <c r="G92" s="19"/>
      <c r="H92" s="18"/>
      <c r="I92" s="8"/>
      <c r="J92" s="9"/>
      <c r="K92" s="9"/>
      <c r="L92" s="9">
        <v>45316</v>
      </c>
      <c r="M92" s="8" t="s">
        <v>1</v>
      </c>
      <c r="N92" s="8"/>
      <c r="O92" s="8"/>
      <c r="P92" s="17"/>
      <c r="Q92" s="8"/>
      <c r="R92" s="5" t="s">
        <v>7</v>
      </c>
      <c r="S92" s="4">
        <f>WEEKNUM(L92)</f>
        <v>4</v>
      </c>
    </row>
    <row r="93" spans="1:19" x14ac:dyDescent="0.35">
      <c r="A93" s="22"/>
      <c r="B93" s="22" t="s">
        <v>264</v>
      </c>
      <c r="C93" s="21" t="s">
        <v>263</v>
      </c>
      <c r="D93" s="14" t="str">
        <f>VLOOKUP(RyS[[#This Row],[NOM]],'[1]Sheet 1'!$A$4:$AR$187,3,0)</f>
        <v>CONTADOR CICLICO</v>
      </c>
      <c r="E93" s="20"/>
      <c r="F93" s="9"/>
      <c r="G93" s="19"/>
      <c r="H93" s="18"/>
      <c r="I93" s="8"/>
      <c r="J93" s="9"/>
      <c r="K93" s="9"/>
      <c r="L93" s="9">
        <v>45314</v>
      </c>
      <c r="M93" s="8" t="s">
        <v>1</v>
      </c>
      <c r="N93" s="8"/>
      <c r="O93" s="8"/>
      <c r="P93" s="17"/>
      <c r="Q93" s="8"/>
      <c r="R93" s="5" t="s">
        <v>22</v>
      </c>
      <c r="S93" s="4">
        <f>WEEKNUM(L93)</f>
        <v>4</v>
      </c>
    </row>
    <row r="94" spans="1:19" x14ac:dyDescent="0.35">
      <c r="A94" s="22"/>
      <c r="B94" s="22" t="s">
        <v>262</v>
      </c>
      <c r="C94" s="21" t="s">
        <v>261</v>
      </c>
      <c r="D94" s="14" t="str">
        <f>VLOOKUP(RyS[[#This Row],[NOM]],'[1]Sheet 1'!$A$4:$AR$187,3,0)</f>
        <v>ANALISTA DE LOGISTICA</v>
      </c>
      <c r="E94" s="20"/>
      <c r="F94" s="9"/>
      <c r="G94" s="19"/>
      <c r="H94" s="18"/>
      <c r="I94" s="8"/>
      <c r="J94" s="9"/>
      <c r="K94" s="9"/>
      <c r="L94" s="9">
        <v>45306</v>
      </c>
      <c r="M94" s="8" t="s">
        <v>1</v>
      </c>
      <c r="N94" s="8"/>
      <c r="O94" s="8"/>
      <c r="P94" s="17"/>
      <c r="Q94" s="8"/>
      <c r="R94" s="5" t="s">
        <v>141</v>
      </c>
      <c r="S94" s="4">
        <f>WEEKNUM(L94)</f>
        <v>3</v>
      </c>
    </row>
    <row r="95" spans="1:19" x14ac:dyDescent="0.35">
      <c r="A95" s="22"/>
      <c r="B95" s="22" t="s">
        <v>260</v>
      </c>
      <c r="C95" s="21" t="s">
        <v>259</v>
      </c>
      <c r="D95" s="14" t="str">
        <f>VLOOKUP(RyS[[#This Row],[NOM]],'[1]Sheet 1'!$A$4:$AR$187,3,0)</f>
        <v>AYUDANTE GENERAL</v>
      </c>
      <c r="E95" s="20"/>
      <c r="F95" s="9"/>
      <c r="G95" s="19"/>
      <c r="H95" s="18"/>
      <c r="I95" s="8"/>
      <c r="J95" s="9"/>
      <c r="K95" s="9"/>
      <c r="L95" s="9">
        <v>45299</v>
      </c>
      <c r="M95" s="8" t="s">
        <v>1</v>
      </c>
      <c r="N95" s="8"/>
      <c r="O95" s="8"/>
      <c r="P95" s="17"/>
      <c r="Q95" s="8"/>
      <c r="R95" s="5" t="s">
        <v>22</v>
      </c>
      <c r="S95" s="4">
        <f>WEEKNUM(L95)</f>
        <v>2</v>
      </c>
    </row>
    <row r="96" spans="1:19" x14ac:dyDescent="0.35">
      <c r="A96" s="22"/>
      <c r="B96" s="22" t="s">
        <v>258</v>
      </c>
      <c r="C96" s="21" t="s">
        <v>257</v>
      </c>
      <c r="D96" s="14" t="str">
        <f>VLOOKUP(RyS[[#This Row],[NOM]],'[1]Sheet 1'!$A$4:$AR$187,3,0)</f>
        <v>AUXILIAR DE SERVICIOS GENERALES</v>
      </c>
      <c r="E96" s="20"/>
      <c r="F96" s="9"/>
      <c r="G96" s="19"/>
      <c r="H96" s="18"/>
      <c r="I96" s="8"/>
      <c r="J96" s="9"/>
      <c r="K96" s="9"/>
      <c r="L96" s="9">
        <v>45315</v>
      </c>
      <c r="M96" s="8" t="s">
        <v>1</v>
      </c>
      <c r="N96" s="8"/>
      <c r="O96" s="8"/>
      <c r="P96" s="17"/>
      <c r="Q96" s="8"/>
      <c r="R96" s="5" t="s">
        <v>7</v>
      </c>
      <c r="S96" s="4">
        <f>WEEKNUM(L96)</f>
        <v>4</v>
      </c>
    </row>
    <row r="97" spans="1:19" x14ac:dyDescent="0.35">
      <c r="A97" s="22"/>
      <c r="B97" s="22" t="s">
        <v>256</v>
      </c>
      <c r="C97" s="21" t="s">
        <v>255</v>
      </c>
      <c r="D97" s="14" t="str">
        <f>VLOOKUP(RyS[[#This Row],[NOM]],'[1]Sheet 1'!$A$4:$AR$187,3,0)</f>
        <v>MONTACARGUISTA</v>
      </c>
      <c r="E97" s="20"/>
      <c r="F97" s="9"/>
      <c r="G97" s="19"/>
      <c r="H97" s="18"/>
      <c r="I97" s="8"/>
      <c r="J97" s="9"/>
      <c r="K97" s="9"/>
      <c r="L97" s="9">
        <v>45306</v>
      </c>
      <c r="M97" s="8" t="s">
        <v>1</v>
      </c>
      <c r="N97" s="8"/>
      <c r="O97" s="8"/>
      <c r="P97" s="17"/>
      <c r="Q97" s="8"/>
      <c r="R97" s="5" t="s">
        <v>4</v>
      </c>
      <c r="S97" s="4">
        <f>WEEKNUM(L97)</f>
        <v>3</v>
      </c>
    </row>
    <row r="98" spans="1:19" x14ac:dyDescent="0.35">
      <c r="A98" s="22"/>
      <c r="B98" s="22" t="s">
        <v>254</v>
      </c>
      <c r="C98" s="21" t="s">
        <v>253</v>
      </c>
      <c r="D98" s="14" t="str">
        <f>VLOOKUP(RyS[[#This Row],[NOM]],'[1]Sheet 1'!$A$4:$AR$187,3,0)</f>
        <v>AUXILIAR DE VERIFICACION</v>
      </c>
      <c r="E98" s="20"/>
      <c r="F98" s="9"/>
      <c r="G98" s="19"/>
      <c r="H98" s="18"/>
      <c r="I98" s="8"/>
      <c r="J98" s="9"/>
      <c r="K98" s="9"/>
      <c r="L98" s="9">
        <v>45308</v>
      </c>
      <c r="M98" s="8" t="s">
        <v>1</v>
      </c>
      <c r="N98" s="8"/>
      <c r="O98" s="8"/>
      <c r="P98" s="17"/>
      <c r="Q98" s="8"/>
      <c r="R98" s="5" t="s">
        <v>0</v>
      </c>
      <c r="S98" s="4">
        <f>WEEKNUM(L98)</f>
        <v>3</v>
      </c>
    </row>
    <row r="99" spans="1:19" x14ac:dyDescent="0.35">
      <c r="A99" s="22"/>
      <c r="B99" s="22" t="s">
        <v>252</v>
      </c>
      <c r="C99" s="21" t="s">
        <v>251</v>
      </c>
      <c r="D99" s="14" t="str">
        <f>VLOOKUP(RyS[[#This Row],[NOM]],'[1]Sheet 1'!$A$4:$AR$187,3,0)</f>
        <v>AUXILIAR DE SERVICIOS GENERALES</v>
      </c>
      <c r="E99" s="20"/>
      <c r="F99" s="9"/>
      <c r="G99" s="19"/>
      <c r="H99" s="18"/>
      <c r="I99" s="8"/>
      <c r="J99" s="9"/>
      <c r="K99" s="9"/>
      <c r="L99" s="9">
        <v>45308</v>
      </c>
      <c r="M99" s="8" t="s">
        <v>1</v>
      </c>
      <c r="N99" s="8"/>
      <c r="O99" s="8"/>
      <c r="P99" s="17"/>
      <c r="Q99" s="8"/>
      <c r="R99" s="5" t="s">
        <v>0</v>
      </c>
      <c r="S99" s="4">
        <f>WEEKNUM(L99)</f>
        <v>3</v>
      </c>
    </row>
    <row r="100" spans="1:19" x14ac:dyDescent="0.35">
      <c r="A100" s="22"/>
      <c r="B100" s="22" t="s">
        <v>250</v>
      </c>
      <c r="C100" s="21" t="s">
        <v>249</v>
      </c>
      <c r="D100" s="14" t="str">
        <f>VLOOKUP(RyS[[#This Row],[NOM]],'[1]Sheet 1'!$A$4:$AR$187,3,0)</f>
        <v>AUXILIAR DE SERVICIOS GENERALES</v>
      </c>
      <c r="E100" s="20"/>
      <c r="F100" s="9"/>
      <c r="G100" s="19"/>
      <c r="H100" s="18"/>
      <c r="I100" s="8"/>
      <c r="J100" s="9"/>
      <c r="K100" s="9"/>
      <c r="L100" s="9">
        <v>45315</v>
      </c>
      <c r="M100" s="8" t="s">
        <v>1</v>
      </c>
      <c r="N100" s="8"/>
      <c r="O100" s="8"/>
      <c r="P100" s="17"/>
      <c r="Q100" s="8"/>
      <c r="R100" s="5" t="s">
        <v>7</v>
      </c>
      <c r="S100" s="4">
        <f>WEEKNUM(L100)</f>
        <v>4</v>
      </c>
    </row>
    <row r="101" spans="1:19" x14ac:dyDescent="0.35">
      <c r="A101" s="22"/>
      <c r="B101" s="22" t="s">
        <v>248</v>
      </c>
      <c r="C101" s="21" t="s">
        <v>247</v>
      </c>
      <c r="D101" s="14" t="str">
        <f>VLOOKUP(RyS[[#This Row],[NOM]],'[1]Sheet 1'!$A$4:$AR$187,3,0)</f>
        <v>AYUDANTE GENERAL</v>
      </c>
      <c r="E101" s="20"/>
      <c r="F101" s="9"/>
      <c r="G101" s="19"/>
      <c r="H101" s="18"/>
      <c r="I101" s="8"/>
      <c r="J101" s="9"/>
      <c r="K101" s="9"/>
      <c r="L101" s="9">
        <v>45310</v>
      </c>
      <c r="M101" s="8" t="s">
        <v>1</v>
      </c>
      <c r="N101" s="8"/>
      <c r="O101" s="8"/>
      <c r="P101" s="17"/>
      <c r="Q101" s="8"/>
      <c r="R101" s="5" t="s">
        <v>27</v>
      </c>
      <c r="S101" s="4">
        <f>WEEKNUM(L101)</f>
        <v>3</v>
      </c>
    </row>
    <row r="102" spans="1:19" x14ac:dyDescent="0.35">
      <c r="A102" s="22"/>
      <c r="B102" s="22" t="s">
        <v>246</v>
      </c>
      <c r="C102" s="21" t="s">
        <v>245</v>
      </c>
      <c r="D102" s="14" t="str">
        <f>VLOOKUP(RyS[[#This Row],[NOM]],'[1]Sheet 1'!$A$4:$AR$187,3,0)</f>
        <v>AYUDANTE GENERAL</v>
      </c>
      <c r="E102" s="20"/>
      <c r="F102" s="9"/>
      <c r="G102" s="19"/>
      <c r="H102" s="18"/>
      <c r="I102" s="8"/>
      <c r="J102" s="9"/>
      <c r="K102" s="9"/>
      <c r="L102" s="9">
        <v>45308</v>
      </c>
      <c r="M102" s="8" t="s">
        <v>1</v>
      </c>
      <c r="N102" s="8"/>
      <c r="O102" s="8"/>
      <c r="P102" s="17"/>
      <c r="Q102" s="8"/>
      <c r="R102" s="5" t="s">
        <v>22</v>
      </c>
      <c r="S102" s="4">
        <f>WEEKNUM(L102)</f>
        <v>3</v>
      </c>
    </row>
    <row r="103" spans="1:19" x14ac:dyDescent="0.35">
      <c r="A103" s="22"/>
      <c r="B103" s="22" t="s">
        <v>244</v>
      </c>
      <c r="C103" s="21" t="s">
        <v>243</v>
      </c>
      <c r="D103" s="14" t="str">
        <f>VLOOKUP(RyS[[#This Row],[NOM]],'[1]Sheet 1'!$A$4:$AR$187,3,0)</f>
        <v>AYUDANTE GENERAL</v>
      </c>
      <c r="E103" s="20"/>
      <c r="F103" s="9"/>
      <c r="G103" s="19"/>
      <c r="H103" s="18"/>
      <c r="I103" s="8"/>
      <c r="J103" s="9"/>
      <c r="K103" s="9"/>
      <c r="L103" s="9">
        <v>45308</v>
      </c>
      <c r="M103" s="8" t="s">
        <v>1</v>
      </c>
      <c r="N103" s="8"/>
      <c r="O103" s="8"/>
      <c r="P103" s="17"/>
      <c r="Q103" s="8"/>
      <c r="R103" s="5" t="s">
        <v>27</v>
      </c>
      <c r="S103" s="4">
        <f>WEEKNUM(L103)</f>
        <v>3</v>
      </c>
    </row>
    <row r="104" spans="1:19" x14ac:dyDescent="0.35">
      <c r="A104" s="22"/>
      <c r="B104" s="22" t="s">
        <v>242</v>
      </c>
      <c r="C104" s="21" t="s">
        <v>241</v>
      </c>
      <c r="D104" s="14" t="str">
        <f>VLOOKUP(RyS[[#This Row],[NOM]],'[1]Sheet 1'!$A$4:$AR$187,3,0)</f>
        <v>AUXILIAR DE VERIFICACION</v>
      </c>
      <c r="E104" s="20"/>
      <c r="F104" s="9"/>
      <c r="G104" s="19"/>
      <c r="H104" s="18"/>
      <c r="I104" s="8"/>
      <c r="J104" s="9"/>
      <c r="K104" s="9"/>
      <c r="L104" s="9">
        <v>45308</v>
      </c>
      <c r="M104" s="8" t="s">
        <v>1</v>
      </c>
      <c r="N104" s="8"/>
      <c r="O104" s="8"/>
      <c r="P104" s="17"/>
      <c r="Q104" s="8"/>
      <c r="R104" s="5" t="s">
        <v>0</v>
      </c>
      <c r="S104" s="4">
        <f>WEEKNUM(L104)</f>
        <v>3</v>
      </c>
    </row>
    <row r="105" spans="1:19" x14ac:dyDescent="0.35">
      <c r="A105" s="22"/>
      <c r="B105" s="22" t="s">
        <v>240</v>
      </c>
      <c r="C105" s="21" t="s">
        <v>239</v>
      </c>
      <c r="D105" s="14" t="str">
        <f>VLOOKUP(RyS[[#This Row],[NOM]],'[1]Sheet 1'!$A$4:$AR$187,3,0)</f>
        <v>AYUDANTE GENERAL</v>
      </c>
      <c r="E105" s="20"/>
      <c r="F105" s="9"/>
      <c r="G105" s="19"/>
      <c r="H105" s="18"/>
      <c r="I105" s="8"/>
      <c r="J105" s="9"/>
      <c r="K105" s="9"/>
      <c r="L105" s="9">
        <v>45301</v>
      </c>
      <c r="M105" s="8" t="s">
        <v>1</v>
      </c>
      <c r="N105" s="8"/>
      <c r="O105" s="8"/>
      <c r="P105" s="17"/>
      <c r="Q105" s="8"/>
      <c r="R105" s="5" t="s">
        <v>22</v>
      </c>
      <c r="S105" s="4">
        <f>WEEKNUM(L105)</f>
        <v>2</v>
      </c>
    </row>
    <row r="106" spans="1:19" x14ac:dyDescent="0.35">
      <c r="A106" s="22"/>
      <c r="B106" s="22" t="s">
        <v>238</v>
      </c>
      <c r="C106" s="21" t="s">
        <v>237</v>
      </c>
      <c r="D106" s="14" t="str">
        <f>VLOOKUP(RyS[[#This Row],[NOM]],'[1]Sheet 1'!$A$4:$AR$187,3,0)</f>
        <v>ANALISTA DE OPERACIONES</v>
      </c>
      <c r="E106" s="20"/>
      <c r="F106" s="9"/>
      <c r="G106" s="19"/>
      <c r="H106" s="18"/>
      <c r="I106" s="8"/>
      <c r="J106" s="9"/>
      <c r="K106" s="9"/>
      <c r="L106" s="9">
        <v>45323</v>
      </c>
      <c r="M106" s="8" t="s">
        <v>1</v>
      </c>
      <c r="N106" s="8"/>
      <c r="O106" s="8"/>
      <c r="P106" s="17"/>
      <c r="Q106" s="8"/>
      <c r="R106" s="5" t="s">
        <v>27</v>
      </c>
      <c r="S106" s="4">
        <f>WEEKNUM(L106)</f>
        <v>5</v>
      </c>
    </row>
    <row r="107" spans="1:19" x14ac:dyDescent="0.35">
      <c r="A107" s="22"/>
      <c r="B107" s="22" t="s">
        <v>236</v>
      </c>
      <c r="C107" s="21" t="s">
        <v>235</v>
      </c>
      <c r="D107" s="14" t="str">
        <f>VLOOKUP(RyS[[#This Row],[NOM]],'[1]Sheet 1'!$A$4:$AR$187,3,0)</f>
        <v>ANALISTA DE INVENTARIOS</v>
      </c>
      <c r="E107" s="20"/>
      <c r="F107" s="9"/>
      <c r="G107" s="19"/>
      <c r="H107" s="18"/>
      <c r="I107" s="8"/>
      <c r="J107" s="9"/>
      <c r="K107" s="9"/>
      <c r="L107" s="9">
        <v>45323</v>
      </c>
      <c r="M107" s="8" t="s">
        <v>1</v>
      </c>
      <c r="N107" s="8"/>
      <c r="O107" s="8"/>
      <c r="P107" s="17"/>
      <c r="Q107" s="8"/>
      <c r="R107" s="5" t="s">
        <v>13</v>
      </c>
      <c r="S107" s="4">
        <f>WEEKNUM(L107)</f>
        <v>5</v>
      </c>
    </row>
    <row r="108" spans="1:19" x14ac:dyDescent="0.35">
      <c r="A108" s="22"/>
      <c r="B108" s="22" t="s">
        <v>234</v>
      </c>
      <c r="C108" s="21" t="s">
        <v>233</v>
      </c>
      <c r="D108" s="14" t="str">
        <f>VLOOKUP(RyS[[#This Row],[NOM]],'[1]Sheet 1'!$A$4:$AR$187,3,0)</f>
        <v>AUXILIAR DE SERVICIOS GENERALES</v>
      </c>
      <c r="E108" s="20"/>
      <c r="F108" s="9"/>
      <c r="G108" s="19"/>
      <c r="H108" s="18"/>
      <c r="I108" s="8"/>
      <c r="J108" s="9"/>
      <c r="K108" s="9"/>
      <c r="L108" s="9">
        <v>45307</v>
      </c>
      <c r="M108" s="8" t="s">
        <v>1</v>
      </c>
      <c r="N108" s="8"/>
      <c r="O108" s="8"/>
      <c r="P108" s="17"/>
      <c r="Q108" s="8"/>
      <c r="R108" s="5" t="s">
        <v>7</v>
      </c>
      <c r="S108" s="4">
        <f>WEEKNUM(L108)</f>
        <v>3</v>
      </c>
    </row>
    <row r="109" spans="1:19" x14ac:dyDescent="0.35">
      <c r="A109" s="22"/>
      <c r="B109" s="22" t="s">
        <v>232</v>
      </c>
      <c r="C109" s="21" t="s">
        <v>231</v>
      </c>
      <c r="D109" s="14" t="str">
        <f>VLOOKUP(RyS[[#This Row],[NOM]],'[1]Sheet 1'!$A$4:$AR$187,3,0)</f>
        <v>AYUDANTE GENERAL</v>
      </c>
      <c r="E109" s="20"/>
      <c r="F109" s="9"/>
      <c r="G109" s="19"/>
      <c r="H109" s="18"/>
      <c r="I109" s="8"/>
      <c r="J109" s="9"/>
      <c r="K109" s="9"/>
      <c r="L109" s="9">
        <v>45314</v>
      </c>
      <c r="M109" s="8" t="s">
        <v>1</v>
      </c>
      <c r="N109" s="8"/>
      <c r="O109" s="8"/>
      <c r="P109" s="17"/>
      <c r="Q109" s="8"/>
      <c r="R109" s="5" t="s">
        <v>34</v>
      </c>
      <c r="S109" s="4">
        <f>WEEKNUM(L109)</f>
        <v>4</v>
      </c>
    </row>
    <row r="110" spans="1:19" x14ac:dyDescent="0.35">
      <c r="A110" s="22"/>
      <c r="B110" s="22" t="s">
        <v>230</v>
      </c>
      <c r="C110" s="21" t="s">
        <v>229</v>
      </c>
      <c r="D110" s="14" t="str">
        <f>VLOOKUP(RyS[[#This Row],[NOM]],'[1]Sheet 1'!$A$4:$AR$187,3,0)</f>
        <v>AUXILIAR DE SERVICIOS GENERALES</v>
      </c>
      <c r="E110" s="20"/>
      <c r="F110" s="9"/>
      <c r="G110" s="19"/>
      <c r="H110" s="18"/>
      <c r="I110" s="8"/>
      <c r="J110" s="9"/>
      <c r="K110" s="9"/>
      <c r="L110" s="9">
        <v>45315</v>
      </c>
      <c r="M110" s="8" t="s">
        <v>1</v>
      </c>
      <c r="N110" s="8"/>
      <c r="O110" s="8"/>
      <c r="P110" s="17"/>
      <c r="Q110" s="8"/>
      <c r="R110" s="5" t="s">
        <v>0</v>
      </c>
      <c r="S110" s="4">
        <f>WEEKNUM(L110)</f>
        <v>4</v>
      </c>
    </row>
    <row r="111" spans="1:19" x14ac:dyDescent="0.35">
      <c r="A111" s="22"/>
      <c r="B111" s="22" t="s">
        <v>228</v>
      </c>
      <c r="C111" s="21" t="s">
        <v>227</v>
      </c>
      <c r="D111" s="14" t="str">
        <f>VLOOKUP(RyS[[#This Row],[NOM]],'[1]Sheet 1'!$A$4:$AR$187,3,0)</f>
        <v>MONTACARGUISTA</v>
      </c>
      <c r="E111" s="20"/>
      <c r="F111" s="9"/>
      <c r="G111" s="19"/>
      <c r="H111" s="18"/>
      <c r="I111" s="8"/>
      <c r="J111" s="9"/>
      <c r="K111" s="9"/>
      <c r="L111" s="9">
        <v>45296</v>
      </c>
      <c r="M111" s="8" t="s">
        <v>1</v>
      </c>
      <c r="N111" s="8"/>
      <c r="O111" s="8"/>
      <c r="P111" s="17"/>
      <c r="Q111" s="8"/>
      <c r="R111" s="5" t="s">
        <v>4</v>
      </c>
      <c r="S111" s="4">
        <f>WEEKNUM(L111)</f>
        <v>1</v>
      </c>
    </row>
    <row r="112" spans="1:19" x14ac:dyDescent="0.35">
      <c r="A112" s="22"/>
      <c r="B112" s="22" t="s">
        <v>226</v>
      </c>
      <c r="C112" s="21" t="s">
        <v>225</v>
      </c>
      <c r="D112" s="14" t="str">
        <f>VLOOKUP(RyS[[#This Row],[NOM]],'[1]Sheet 1'!$A$4:$AR$187,3,0)</f>
        <v>AUXILIAR DE SERVICIOS GENERALES</v>
      </c>
      <c r="E112" s="20"/>
      <c r="F112" s="9"/>
      <c r="G112" s="19"/>
      <c r="H112" s="18"/>
      <c r="I112" s="8"/>
      <c r="J112" s="9"/>
      <c r="K112" s="9"/>
      <c r="L112" s="9">
        <v>45302</v>
      </c>
      <c r="M112" s="8" t="s">
        <v>1</v>
      </c>
      <c r="N112" s="8"/>
      <c r="O112" s="8"/>
      <c r="P112" s="17"/>
      <c r="Q112" s="8"/>
      <c r="R112" s="5" t="s">
        <v>7</v>
      </c>
      <c r="S112" s="4">
        <f>WEEKNUM(L112)</f>
        <v>2</v>
      </c>
    </row>
    <row r="113" spans="1:19" x14ac:dyDescent="0.35">
      <c r="A113" s="22"/>
      <c r="B113" s="22" t="s">
        <v>224</v>
      </c>
      <c r="C113" s="21" t="s">
        <v>223</v>
      </c>
      <c r="D113" s="14" t="str">
        <f>VLOOKUP(RyS[[#This Row],[NOM]],'[1]Sheet 1'!$A$4:$AR$187,3,0)</f>
        <v>AUXILIAR DE VERIFICACION</v>
      </c>
      <c r="E113" s="20"/>
      <c r="F113" s="9"/>
      <c r="G113" s="19"/>
      <c r="H113" s="18"/>
      <c r="I113" s="8"/>
      <c r="J113" s="9"/>
      <c r="K113" s="9"/>
      <c r="L113" s="9">
        <v>45324</v>
      </c>
      <c r="M113" s="8" t="s">
        <v>1</v>
      </c>
      <c r="N113" s="8"/>
      <c r="O113" s="8"/>
      <c r="P113" s="17"/>
      <c r="Q113" s="8"/>
      <c r="R113" s="5" t="s">
        <v>22</v>
      </c>
      <c r="S113" s="4">
        <f>WEEKNUM(L113)</f>
        <v>5</v>
      </c>
    </row>
    <row r="114" spans="1:19" x14ac:dyDescent="0.35">
      <c r="A114" s="22"/>
      <c r="B114" s="22" t="s">
        <v>222</v>
      </c>
      <c r="C114" s="21" t="s">
        <v>221</v>
      </c>
      <c r="D114" s="14" t="str">
        <f>VLOOKUP(RyS[[#This Row],[NOM]],'[1]Sheet 1'!$A$4:$AR$187,3,0)</f>
        <v>AUXILIAR DE SERVICIOS GENERALES</v>
      </c>
      <c r="E114" s="20"/>
      <c r="F114" s="9"/>
      <c r="G114" s="19"/>
      <c r="H114" s="18"/>
      <c r="I114" s="8"/>
      <c r="J114" s="9"/>
      <c r="K114" s="9"/>
      <c r="L114" s="9">
        <v>45328</v>
      </c>
      <c r="M114" s="8" t="s">
        <v>1</v>
      </c>
      <c r="N114" s="8"/>
      <c r="O114" s="8"/>
      <c r="P114" s="17"/>
      <c r="Q114" s="8"/>
      <c r="R114" s="5" t="s">
        <v>4</v>
      </c>
      <c r="S114" s="4">
        <f>WEEKNUM(L114)</f>
        <v>6</v>
      </c>
    </row>
    <row r="115" spans="1:19" x14ac:dyDescent="0.35">
      <c r="A115" s="22"/>
      <c r="B115" s="22" t="s">
        <v>220</v>
      </c>
      <c r="C115" s="21" t="s">
        <v>219</v>
      </c>
      <c r="D115" s="14" t="str">
        <f>VLOOKUP(RyS[[#This Row],[NOM]],'[1]Sheet 1'!$A$4:$AR$187,3,0)</f>
        <v>ASISTENTE DE INVENTARIOS</v>
      </c>
      <c r="E115" s="20"/>
      <c r="F115" s="9"/>
      <c r="G115" s="19"/>
      <c r="H115" s="18"/>
      <c r="I115" s="8"/>
      <c r="J115" s="9"/>
      <c r="K115" s="9"/>
      <c r="L115" s="9">
        <v>45296</v>
      </c>
      <c r="M115" s="8" t="s">
        <v>1</v>
      </c>
      <c r="N115" s="8"/>
      <c r="O115" s="8"/>
      <c r="P115" s="17"/>
      <c r="Q115" s="8"/>
      <c r="R115" s="5" t="s">
        <v>10</v>
      </c>
      <c r="S115" s="4">
        <f>WEEKNUM(L115)</f>
        <v>1</v>
      </c>
    </row>
    <row r="116" spans="1:19" x14ac:dyDescent="0.35">
      <c r="A116" s="22"/>
      <c r="B116" s="22" t="s">
        <v>218</v>
      </c>
      <c r="C116" s="21" t="s">
        <v>217</v>
      </c>
      <c r="D116" s="14" t="str">
        <f>VLOOKUP(RyS[[#This Row],[NOM]],'[1]Sheet 1'!$A$4:$AR$187,3,0)</f>
        <v>ANALISTA DE SEGURIDAD E HIGIENE</v>
      </c>
      <c r="E116" s="20"/>
      <c r="F116" s="9"/>
      <c r="G116" s="19"/>
      <c r="H116" s="18"/>
      <c r="I116" s="8"/>
      <c r="J116" s="9"/>
      <c r="K116" s="9"/>
      <c r="L116" s="9">
        <v>45301</v>
      </c>
      <c r="M116" s="8" t="s">
        <v>1</v>
      </c>
      <c r="N116" s="8"/>
      <c r="O116" s="8"/>
      <c r="P116" s="17"/>
      <c r="Q116" s="8"/>
      <c r="R116" s="5" t="s">
        <v>150</v>
      </c>
      <c r="S116" s="4">
        <f>WEEKNUM(L116)</f>
        <v>2</v>
      </c>
    </row>
    <row r="117" spans="1:19" x14ac:dyDescent="0.35">
      <c r="A117" s="22"/>
      <c r="B117" s="22" t="s">
        <v>216</v>
      </c>
      <c r="C117" s="21" t="s">
        <v>215</v>
      </c>
      <c r="D117" s="14" t="str">
        <f>VLOOKUP(RyS[[#This Row],[NOM]],'[1]Sheet 1'!$A$4:$AR$187,3,0)</f>
        <v>AUXILIAR DE VERIFICACION</v>
      </c>
      <c r="E117" s="20"/>
      <c r="F117" s="9"/>
      <c r="G117" s="19"/>
      <c r="H117" s="18"/>
      <c r="I117" s="8"/>
      <c r="J117" s="9"/>
      <c r="K117" s="9"/>
      <c r="L117" s="9">
        <v>45322</v>
      </c>
      <c r="M117" s="8" t="s">
        <v>1</v>
      </c>
      <c r="N117" s="8"/>
      <c r="O117" s="8"/>
      <c r="P117" s="17"/>
      <c r="Q117" s="8"/>
      <c r="R117" s="5" t="s">
        <v>27</v>
      </c>
      <c r="S117" s="4">
        <f>WEEKNUM(L117)</f>
        <v>5</v>
      </c>
    </row>
    <row r="118" spans="1:19" x14ac:dyDescent="0.35">
      <c r="A118" s="22"/>
      <c r="B118" s="22" t="s">
        <v>214</v>
      </c>
      <c r="C118" s="21" t="s">
        <v>213</v>
      </c>
      <c r="D118" s="14" t="str">
        <f>VLOOKUP(RyS[[#This Row],[NOM]],'[1]Sheet 1'!$A$4:$AR$187,3,0)</f>
        <v>AUXILIAR DE SERVICIOS GENERALES</v>
      </c>
      <c r="E118" s="20"/>
      <c r="F118" s="9"/>
      <c r="G118" s="19"/>
      <c r="H118" s="18"/>
      <c r="I118" s="8"/>
      <c r="J118" s="9"/>
      <c r="K118" s="9"/>
      <c r="L118" s="9">
        <v>45322</v>
      </c>
      <c r="M118" s="8" t="s">
        <v>1</v>
      </c>
      <c r="N118" s="8"/>
      <c r="O118" s="8"/>
      <c r="P118" s="17"/>
      <c r="Q118" s="8"/>
      <c r="R118" s="5" t="s">
        <v>0</v>
      </c>
      <c r="S118" s="4">
        <f>WEEKNUM(L118)</f>
        <v>5</v>
      </c>
    </row>
    <row r="119" spans="1:19" x14ac:dyDescent="0.35">
      <c r="A119" s="22"/>
      <c r="B119" s="22" t="s">
        <v>212</v>
      </c>
      <c r="C119" s="21" t="s">
        <v>211</v>
      </c>
      <c r="D119" s="14" t="str">
        <f>VLOOKUP(RyS[[#This Row],[NOM]],'[1]Sheet 1'!$A$4:$AR$187,3,0)</f>
        <v>AUXILIAR DE AUDITORIA INTERNA</v>
      </c>
      <c r="E119" s="20"/>
      <c r="F119" s="9"/>
      <c r="G119" s="19"/>
      <c r="H119" s="18"/>
      <c r="I119" s="8"/>
      <c r="J119" s="9"/>
      <c r="K119" s="9"/>
      <c r="L119" s="9">
        <v>45316</v>
      </c>
      <c r="M119" s="8" t="s">
        <v>1</v>
      </c>
      <c r="N119" s="8"/>
      <c r="O119" s="8"/>
      <c r="P119" s="17"/>
      <c r="Q119" s="8"/>
      <c r="R119" s="5" t="s">
        <v>13</v>
      </c>
      <c r="S119" s="4">
        <f>WEEKNUM(L119)</f>
        <v>4</v>
      </c>
    </row>
    <row r="120" spans="1:19" x14ac:dyDescent="0.35">
      <c r="A120" s="22"/>
      <c r="B120" s="22" t="s">
        <v>210</v>
      </c>
      <c r="C120" s="21" t="s">
        <v>209</v>
      </c>
      <c r="D120" s="14" t="str">
        <f>VLOOKUP(RyS[[#This Row],[NOM]],'[1]Sheet 1'!$A$4:$AR$187,3,0)</f>
        <v>AYUDANTE GENERAL</v>
      </c>
      <c r="E120" s="20"/>
      <c r="F120" s="9"/>
      <c r="G120" s="19"/>
      <c r="H120" s="18"/>
      <c r="I120" s="8"/>
      <c r="J120" s="9"/>
      <c r="K120" s="9"/>
      <c r="L120" s="9">
        <v>45316</v>
      </c>
      <c r="M120" s="8" t="s">
        <v>1</v>
      </c>
      <c r="N120" s="8"/>
      <c r="O120" s="8"/>
      <c r="P120" s="17"/>
      <c r="Q120" s="8"/>
      <c r="R120" s="5" t="s">
        <v>27</v>
      </c>
      <c r="S120" s="4">
        <f>WEEKNUM(L120)</f>
        <v>4</v>
      </c>
    </row>
    <row r="121" spans="1:19" x14ac:dyDescent="0.35">
      <c r="A121" s="22"/>
      <c r="B121" s="22" t="s">
        <v>208</v>
      </c>
      <c r="C121" s="21" t="s">
        <v>207</v>
      </c>
      <c r="D121" s="14" t="str">
        <f>VLOOKUP(RyS[[#This Row],[NOM]],'[1]Sheet 1'!$A$4:$AR$187,3,0)</f>
        <v>AUXILIAR DE OPERACIONES</v>
      </c>
      <c r="E121" s="20"/>
      <c r="F121" s="9"/>
      <c r="G121" s="19"/>
      <c r="H121" s="18"/>
      <c r="I121" s="8"/>
      <c r="J121" s="9"/>
      <c r="K121" s="9"/>
      <c r="L121" s="9">
        <v>45309</v>
      </c>
      <c r="M121" s="8" t="s">
        <v>1</v>
      </c>
      <c r="N121" s="8"/>
      <c r="O121" s="8"/>
      <c r="P121" s="17"/>
      <c r="Q121" s="8"/>
      <c r="R121" s="5" t="s">
        <v>4</v>
      </c>
      <c r="S121" s="4">
        <f>WEEKNUM(L121)</f>
        <v>3</v>
      </c>
    </row>
    <row r="122" spans="1:19" x14ac:dyDescent="0.35">
      <c r="A122" s="22"/>
      <c r="B122" s="22" t="s">
        <v>206</v>
      </c>
      <c r="C122" s="21" t="s">
        <v>205</v>
      </c>
      <c r="D122" s="14" t="str">
        <f>VLOOKUP(RyS[[#This Row],[NOM]],'[1]Sheet 1'!$A$4:$AR$187,3,0)</f>
        <v>AUXILIAR DE PATIO</v>
      </c>
      <c r="E122" s="20"/>
      <c r="F122" s="9"/>
      <c r="G122" s="19"/>
      <c r="H122" s="18"/>
      <c r="I122" s="8"/>
      <c r="J122" s="9"/>
      <c r="K122" s="9"/>
      <c r="L122" s="9">
        <v>45300</v>
      </c>
      <c r="M122" s="8" t="s">
        <v>1</v>
      </c>
      <c r="N122" s="8"/>
      <c r="O122" s="8"/>
      <c r="P122" s="17"/>
      <c r="Q122" s="8"/>
      <c r="R122" s="5" t="s">
        <v>0</v>
      </c>
      <c r="S122" s="4">
        <f>WEEKNUM(L122)</f>
        <v>2</v>
      </c>
    </row>
    <row r="123" spans="1:19" x14ac:dyDescent="0.35">
      <c r="A123" s="22"/>
      <c r="B123" s="22" t="s">
        <v>204</v>
      </c>
      <c r="C123" s="21" t="s">
        <v>203</v>
      </c>
      <c r="D123" s="14" t="str">
        <f>VLOOKUP(RyS[[#This Row],[NOM]],'[1]Sheet 1'!$A$4:$AR$187,3,0)</f>
        <v>AUXILIAR DE SERVICIOS GENERALES</v>
      </c>
      <c r="E123" s="20"/>
      <c r="F123" s="9"/>
      <c r="G123" s="19"/>
      <c r="H123" s="18"/>
      <c r="I123" s="8"/>
      <c r="J123" s="9"/>
      <c r="K123" s="9"/>
      <c r="L123" s="9">
        <v>45328</v>
      </c>
      <c r="M123" s="8" t="s">
        <v>1</v>
      </c>
      <c r="N123" s="8"/>
      <c r="O123" s="8"/>
      <c r="P123" s="17"/>
      <c r="Q123" s="8"/>
      <c r="R123" s="5" t="s">
        <v>13</v>
      </c>
      <c r="S123" s="4">
        <f>WEEKNUM(L123)</f>
        <v>6</v>
      </c>
    </row>
    <row r="124" spans="1:19" x14ac:dyDescent="0.35">
      <c r="A124" s="22"/>
      <c r="B124" s="22" t="s">
        <v>202</v>
      </c>
      <c r="C124" s="21" t="s">
        <v>201</v>
      </c>
      <c r="D124" s="14" t="str">
        <f>VLOOKUP(RyS[[#This Row],[NOM]],'[1]Sheet 1'!$A$4:$AR$187,3,0)</f>
        <v>AUXILIAR DE SERVICIOS GENERALES</v>
      </c>
      <c r="E124" s="20"/>
      <c r="F124" s="9"/>
      <c r="G124" s="19"/>
      <c r="H124" s="18"/>
      <c r="I124" s="8"/>
      <c r="J124" s="9"/>
      <c r="K124" s="9"/>
      <c r="L124" s="9">
        <v>45308</v>
      </c>
      <c r="M124" s="8" t="s">
        <v>1</v>
      </c>
      <c r="N124" s="8"/>
      <c r="O124" s="8"/>
      <c r="P124" s="17"/>
      <c r="Q124" s="8"/>
      <c r="R124" s="5" t="s">
        <v>0</v>
      </c>
      <c r="S124" s="4">
        <f>WEEKNUM(L124)</f>
        <v>3</v>
      </c>
    </row>
    <row r="125" spans="1:19" x14ac:dyDescent="0.35">
      <c r="A125" s="22"/>
      <c r="B125" s="22" t="s">
        <v>200</v>
      </c>
      <c r="C125" s="21" t="s">
        <v>199</v>
      </c>
      <c r="D125" s="14" t="str">
        <f>VLOOKUP(RyS[[#This Row],[NOM]],'[1]Sheet 1'!$A$4:$AR$187,3,0)</f>
        <v>MONTACARGUISTA</v>
      </c>
      <c r="E125" s="20"/>
      <c r="F125" s="9"/>
      <c r="G125" s="19"/>
      <c r="H125" s="18"/>
      <c r="I125" s="8"/>
      <c r="J125" s="9"/>
      <c r="K125" s="9"/>
      <c r="L125" s="9">
        <v>45308</v>
      </c>
      <c r="M125" s="8" t="s">
        <v>1</v>
      </c>
      <c r="N125" s="8"/>
      <c r="O125" s="8"/>
      <c r="P125" s="17"/>
      <c r="Q125" s="8"/>
      <c r="R125" s="5" t="s">
        <v>22</v>
      </c>
      <c r="S125" s="4">
        <f>WEEKNUM(L125)</f>
        <v>3</v>
      </c>
    </row>
    <row r="126" spans="1:19" x14ac:dyDescent="0.35">
      <c r="A126" s="22"/>
      <c r="B126" s="22" t="s">
        <v>198</v>
      </c>
      <c r="C126" s="21" t="s">
        <v>197</v>
      </c>
      <c r="D126" s="14" t="str">
        <f>VLOOKUP(RyS[[#This Row],[NOM]],'[1]Sheet 1'!$A$4:$AR$187,3,0)</f>
        <v>AUXILIAR DE SERVICIOS GENERALES</v>
      </c>
      <c r="E126" s="20"/>
      <c r="F126" s="9"/>
      <c r="G126" s="19"/>
      <c r="H126" s="18"/>
      <c r="I126" s="8"/>
      <c r="J126" s="9"/>
      <c r="K126" s="9"/>
      <c r="L126" s="9">
        <v>45294</v>
      </c>
      <c r="M126" s="8" t="s">
        <v>1</v>
      </c>
      <c r="N126" s="8"/>
      <c r="O126" s="8"/>
      <c r="P126" s="17"/>
      <c r="Q126" s="8"/>
      <c r="R126" s="5" t="s">
        <v>7</v>
      </c>
      <c r="S126" s="4">
        <f>WEEKNUM(L126)</f>
        <v>1</v>
      </c>
    </row>
    <row r="127" spans="1:19" x14ac:dyDescent="0.35">
      <c r="A127" s="22"/>
      <c r="B127" s="22" t="s">
        <v>196</v>
      </c>
      <c r="C127" s="21" t="s">
        <v>195</v>
      </c>
      <c r="D127" s="14" t="str">
        <f>VLOOKUP(RyS[[#This Row],[NOM]],'[1]Sheet 1'!$A$4:$AR$187,3,0)</f>
        <v>AUXILIAR DE SERVICIOS GENERALES</v>
      </c>
      <c r="E127" s="20"/>
      <c r="F127" s="9"/>
      <c r="G127" s="19"/>
      <c r="H127" s="18"/>
      <c r="I127" s="8"/>
      <c r="J127" s="9"/>
      <c r="K127" s="9"/>
      <c r="L127" s="9">
        <v>45315</v>
      </c>
      <c r="M127" s="8" t="s">
        <v>1</v>
      </c>
      <c r="N127" s="8"/>
      <c r="O127" s="8"/>
      <c r="P127" s="17"/>
      <c r="Q127" s="8"/>
      <c r="R127" s="5" t="s">
        <v>0</v>
      </c>
      <c r="S127" s="4">
        <f>WEEKNUM(L127)</f>
        <v>4</v>
      </c>
    </row>
    <row r="128" spans="1:19" x14ac:dyDescent="0.35">
      <c r="A128" s="22"/>
      <c r="B128" s="22" t="s">
        <v>194</v>
      </c>
      <c r="C128" s="21" t="s">
        <v>193</v>
      </c>
      <c r="D128" s="14" t="str">
        <f>VLOOKUP(RyS[[#This Row],[NOM]],'[1]Sheet 1'!$A$4:$AR$187,3,0)</f>
        <v>AUXILIAR DE SERVICIOS GENERALES</v>
      </c>
      <c r="E128" s="20"/>
      <c r="F128" s="9"/>
      <c r="G128" s="19"/>
      <c r="H128" s="18"/>
      <c r="I128" s="8"/>
      <c r="J128" s="9"/>
      <c r="K128" s="9"/>
      <c r="L128" s="9">
        <v>45309</v>
      </c>
      <c r="M128" s="8" t="s">
        <v>1</v>
      </c>
      <c r="N128" s="8"/>
      <c r="O128" s="8"/>
      <c r="P128" s="17"/>
      <c r="Q128" s="8"/>
      <c r="R128" s="5" t="s">
        <v>4</v>
      </c>
      <c r="S128" s="4">
        <f>WEEKNUM(L128)</f>
        <v>3</v>
      </c>
    </row>
    <row r="129" spans="1:19" x14ac:dyDescent="0.35">
      <c r="A129" s="22"/>
      <c r="B129" s="22" t="s">
        <v>192</v>
      </c>
      <c r="C129" s="21" t="s">
        <v>191</v>
      </c>
      <c r="D129" s="14" t="str">
        <f>VLOOKUP(RyS[[#This Row],[NOM]],'[1]Sheet 1'!$A$4:$AR$187,3,0)</f>
        <v>ENFERMERO</v>
      </c>
      <c r="E129" s="20"/>
      <c r="F129" s="9"/>
      <c r="G129" s="19"/>
      <c r="H129" s="18"/>
      <c r="I129" s="8"/>
      <c r="J129" s="9"/>
      <c r="K129" s="9"/>
      <c r="L129" s="9">
        <v>45295</v>
      </c>
      <c r="M129" s="8" t="s">
        <v>1</v>
      </c>
      <c r="N129" s="8"/>
      <c r="O129" s="8"/>
      <c r="P129" s="17"/>
      <c r="Q129" s="8"/>
      <c r="R129" s="5" t="s">
        <v>150</v>
      </c>
      <c r="S129" s="4">
        <f>WEEKNUM(L129)</f>
        <v>1</v>
      </c>
    </row>
    <row r="130" spans="1:19" x14ac:dyDescent="0.35">
      <c r="A130" s="22"/>
      <c r="B130" s="22" t="s">
        <v>190</v>
      </c>
      <c r="C130" s="21" t="s">
        <v>189</v>
      </c>
      <c r="D130" s="14" t="str">
        <f>VLOOKUP(RyS[[#This Row],[NOM]],'[1]Sheet 1'!$A$4:$AR$187,3,0)</f>
        <v>AUXILIAR DE SERVICIOS GENERALES</v>
      </c>
      <c r="E130" s="20"/>
      <c r="F130" s="9"/>
      <c r="G130" s="19"/>
      <c r="H130" s="18"/>
      <c r="I130" s="8"/>
      <c r="J130" s="9"/>
      <c r="K130" s="9"/>
      <c r="L130" s="9">
        <v>45316</v>
      </c>
      <c r="M130" s="8" t="s">
        <v>1</v>
      </c>
      <c r="N130" s="8"/>
      <c r="O130" s="8"/>
      <c r="P130" s="17"/>
      <c r="Q130" s="8"/>
      <c r="R130" s="5" t="s">
        <v>7</v>
      </c>
      <c r="S130" s="4">
        <f>WEEKNUM(L130)</f>
        <v>4</v>
      </c>
    </row>
    <row r="131" spans="1:19" x14ac:dyDescent="0.35">
      <c r="A131" s="22"/>
      <c r="B131" s="22" t="s">
        <v>188</v>
      </c>
      <c r="C131" s="21" t="s">
        <v>187</v>
      </c>
      <c r="D131" s="14" t="str">
        <f>VLOOKUP(RyS[[#This Row],[NOM]],'[1]Sheet 1'!$A$4:$AR$187,3,0)</f>
        <v>AUXILIAR DE SERVICIOS GENERALES</v>
      </c>
      <c r="E131" s="20"/>
      <c r="F131" s="9"/>
      <c r="G131" s="19"/>
      <c r="H131" s="18"/>
      <c r="I131" s="8"/>
      <c r="J131" s="9"/>
      <c r="K131" s="9"/>
      <c r="L131" s="9">
        <v>45320</v>
      </c>
      <c r="M131" s="8" t="s">
        <v>1</v>
      </c>
      <c r="N131" s="8"/>
      <c r="O131" s="8"/>
      <c r="P131" s="17"/>
      <c r="Q131" s="8"/>
      <c r="R131" s="5" t="s">
        <v>4</v>
      </c>
      <c r="S131" s="4">
        <f>WEEKNUM(L131)</f>
        <v>5</v>
      </c>
    </row>
    <row r="132" spans="1:19" x14ac:dyDescent="0.35">
      <c r="A132" s="22"/>
      <c r="B132" s="22" t="s">
        <v>186</v>
      </c>
      <c r="C132" s="21" t="s">
        <v>185</v>
      </c>
      <c r="D132" s="14" t="str">
        <f>VLOOKUP(RyS[[#This Row],[NOM]],'[1]Sheet 1'!$A$4:$AR$187,3,0)</f>
        <v>MONTACARGUISTA</v>
      </c>
      <c r="E132" s="20"/>
      <c r="F132" s="9"/>
      <c r="G132" s="19"/>
      <c r="H132" s="18"/>
      <c r="I132" s="8"/>
      <c r="J132" s="9"/>
      <c r="K132" s="9"/>
      <c r="L132" s="9">
        <v>45316</v>
      </c>
      <c r="M132" s="8" t="s">
        <v>1</v>
      </c>
      <c r="N132" s="8"/>
      <c r="O132" s="8"/>
      <c r="P132" s="17"/>
      <c r="Q132" s="8"/>
      <c r="R132" s="5" t="s">
        <v>22</v>
      </c>
      <c r="S132" s="4">
        <f>WEEKNUM(L132)</f>
        <v>4</v>
      </c>
    </row>
    <row r="133" spans="1:19" x14ac:dyDescent="0.35">
      <c r="A133" s="22"/>
      <c r="B133" s="22" t="s">
        <v>184</v>
      </c>
      <c r="C133" s="21" t="s">
        <v>183</v>
      </c>
      <c r="D133" s="14" t="str">
        <f>VLOOKUP(RyS[[#This Row],[NOM]],'[1]Sheet 1'!$A$4:$AR$187,3,0)</f>
        <v>ENFERMERO</v>
      </c>
      <c r="E133" s="20"/>
      <c r="F133" s="9"/>
      <c r="G133" s="19"/>
      <c r="H133" s="18"/>
      <c r="I133" s="8"/>
      <c r="J133" s="9"/>
      <c r="K133" s="9"/>
      <c r="L133" s="9">
        <v>45308</v>
      </c>
      <c r="M133" s="8" t="s">
        <v>1</v>
      </c>
      <c r="N133" s="8"/>
      <c r="O133" s="8"/>
      <c r="P133" s="17"/>
      <c r="Q133" s="8"/>
      <c r="R133" s="5" t="s">
        <v>27</v>
      </c>
      <c r="S133" s="4">
        <f>WEEKNUM(L133)</f>
        <v>3</v>
      </c>
    </row>
    <row r="134" spans="1:19" x14ac:dyDescent="0.35">
      <c r="A134" s="22"/>
      <c r="B134" s="22" t="s">
        <v>182</v>
      </c>
      <c r="C134" s="21" t="s">
        <v>181</v>
      </c>
      <c r="D134" s="14" t="str">
        <f>VLOOKUP(RyS[[#This Row],[NOM]],'[1]Sheet 1'!$A$4:$AR$187,3,0)</f>
        <v>AUXILIAR DE LOGISTICA</v>
      </c>
      <c r="E134" s="20"/>
      <c r="F134" s="9"/>
      <c r="G134" s="19"/>
      <c r="H134" s="18"/>
      <c r="I134" s="8"/>
      <c r="J134" s="9"/>
      <c r="K134" s="9"/>
      <c r="L134" s="9">
        <v>45296</v>
      </c>
      <c r="M134" s="8" t="s">
        <v>1</v>
      </c>
      <c r="N134" s="8"/>
      <c r="O134" s="8"/>
      <c r="P134" s="17"/>
      <c r="Q134" s="8"/>
      <c r="R134" s="5" t="s">
        <v>34</v>
      </c>
      <c r="S134" s="4">
        <f>WEEKNUM(L134)</f>
        <v>1</v>
      </c>
    </row>
    <row r="135" spans="1:19" x14ac:dyDescent="0.35">
      <c r="A135" s="22"/>
      <c r="B135" s="22" t="s">
        <v>180</v>
      </c>
      <c r="C135" s="21" t="s">
        <v>179</v>
      </c>
      <c r="D135" s="14" t="str">
        <f>VLOOKUP(RyS[[#This Row],[NOM]],'[1]Sheet 1'!$A$4:$AR$187,3,0)</f>
        <v>AUXILIAR DE SERVICIOS GENERALES</v>
      </c>
      <c r="E135" s="20"/>
      <c r="F135" s="9"/>
      <c r="G135" s="19"/>
      <c r="H135" s="18"/>
      <c r="I135" s="8"/>
      <c r="J135" s="9"/>
      <c r="K135" s="9"/>
      <c r="L135" s="9">
        <v>45296</v>
      </c>
      <c r="M135" s="8" t="s">
        <v>1</v>
      </c>
      <c r="N135" s="8"/>
      <c r="O135" s="8"/>
      <c r="P135" s="17"/>
      <c r="Q135" s="8"/>
      <c r="R135" s="5" t="s">
        <v>7</v>
      </c>
      <c r="S135" s="4">
        <f>WEEKNUM(L135)</f>
        <v>1</v>
      </c>
    </row>
    <row r="136" spans="1:19" x14ac:dyDescent="0.35">
      <c r="A136" s="22"/>
      <c r="B136" s="22" t="s">
        <v>178</v>
      </c>
      <c r="C136" s="21" t="s">
        <v>177</v>
      </c>
      <c r="D136" s="14" t="str">
        <f>VLOOKUP(RyS[[#This Row],[NOM]],'[1]Sheet 1'!$A$4:$AR$187,3,0)</f>
        <v>AUXILIAR DE OPERACIONES</v>
      </c>
      <c r="E136" s="20"/>
      <c r="F136" s="9"/>
      <c r="G136" s="19"/>
      <c r="H136" s="18"/>
      <c r="I136" s="8"/>
      <c r="J136" s="9"/>
      <c r="K136" s="9"/>
      <c r="L136" s="9">
        <v>45320</v>
      </c>
      <c r="M136" s="8" t="s">
        <v>1</v>
      </c>
      <c r="N136" s="8"/>
      <c r="O136" s="8"/>
      <c r="P136" s="17"/>
      <c r="Q136" s="8"/>
      <c r="R136" s="5" t="s">
        <v>150</v>
      </c>
      <c r="S136" s="4">
        <f>WEEKNUM(L136)</f>
        <v>5</v>
      </c>
    </row>
    <row r="137" spans="1:19" x14ac:dyDescent="0.35">
      <c r="A137" s="22"/>
      <c r="B137" s="22" t="s">
        <v>176</v>
      </c>
      <c r="C137" s="21" t="s">
        <v>175</v>
      </c>
      <c r="D137" s="14" t="str">
        <f>VLOOKUP(RyS[[#This Row],[NOM]],'[1]Sheet 1'!$A$4:$AR$187,3,0)</f>
        <v>AUXILIAR DE SERVICIOS GENERALES</v>
      </c>
      <c r="E137" s="20"/>
      <c r="F137" s="9"/>
      <c r="G137" s="19"/>
      <c r="H137" s="18"/>
      <c r="I137" s="8"/>
      <c r="J137" s="9"/>
      <c r="K137" s="9"/>
      <c r="L137" s="9">
        <v>45321</v>
      </c>
      <c r="M137" s="8" t="s">
        <v>1</v>
      </c>
      <c r="N137" s="8"/>
      <c r="O137" s="8"/>
      <c r="P137" s="17"/>
      <c r="Q137" s="8"/>
      <c r="R137" s="5" t="s">
        <v>7</v>
      </c>
      <c r="S137" s="4">
        <f>WEEKNUM(L137)</f>
        <v>5</v>
      </c>
    </row>
    <row r="138" spans="1:19" x14ac:dyDescent="0.35">
      <c r="A138" s="22"/>
      <c r="B138" s="22" t="s">
        <v>174</v>
      </c>
      <c r="C138" s="21" t="s">
        <v>173</v>
      </c>
      <c r="D138" s="14" t="str">
        <f>VLOOKUP(RyS[[#This Row],[NOM]],'[1]Sheet 1'!$A$4:$AR$187,3,0)</f>
        <v>CONTADOR CICLICO</v>
      </c>
      <c r="E138" s="20"/>
      <c r="F138" s="9"/>
      <c r="G138" s="19"/>
      <c r="H138" s="18"/>
      <c r="I138" s="8"/>
      <c r="J138" s="9"/>
      <c r="K138" s="9"/>
      <c r="L138" s="9">
        <v>45303</v>
      </c>
      <c r="M138" s="8" t="s">
        <v>1</v>
      </c>
      <c r="N138" s="8"/>
      <c r="O138" s="8"/>
      <c r="P138" s="17"/>
      <c r="Q138" s="8"/>
      <c r="R138" s="5" t="s">
        <v>4</v>
      </c>
      <c r="S138" s="4">
        <f>WEEKNUM(L138)</f>
        <v>2</v>
      </c>
    </row>
    <row r="139" spans="1:19" x14ac:dyDescent="0.35">
      <c r="A139" s="22"/>
      <c r="B139" s="22" t="s">
        <v>172</v>
      </c>
      <c r="C139" s="21" t="s">
        <v>171</v>
      </c>
      <c r="D139" s="14" t="str">
        <f>VLOOKUP(RyS[[#This Row],[NOM]],'[1]Sheet 1'!$A$4:$AR$187,3,0)</f>
        <v>AUXILIAR DE SERVICIOS GENERALES</v>
      </c>
      <c r="E139" s="20"/>
      <c r="F139" s="9"/>
      <c r="G139" s="19"/>
      <c r="H139" s="18"/>
      <c r="I139" s="8"/>
      <c r="J139" s="9"/>
      <c r="K139" s="9"/>
      <c r="L139" s="9">
        <v>45320</v>
      </c>
      <c r="M139" s="8" t="s">
        <v>1</v>
      </c>
      <c r="N139" s="8"/>
      <c r="O139" s="8"/>
      <c r="P139" s="17"/>
      <c r="Q139" s="8"/>
      <c r="R139" s="5" t="s">
        <v>4</v>
      </c>
      <c r="S139" s="4">
        <f>WEEKNUM(L139)</f>
        <v>5</v>
      </c>
    </row>
    <row r="140" spans="1:19" x14ac:dyDescent="0.35">
      <c r="A140" s="22"/>
      <c r="B140" s="22" t="s">
        <v>170</v>
      </c>
      <c r="C140" s="21" t="s">
        <v>169</v>
      </c>
      <c r="D140" s="14" t="str">
        <f>VLOOKUP(RyS[[#This Row],[NOM]],'[1]Sheet 1'!$A$4:$AR$187,3,0)</f>
        <v>AYUDANTE GENERAL</v>
      </c>
      <c r="E140" s="20"/>
      <c r="F140" s="9"/>
      <c r="G140" s="19"/>
      <c r="H140" s="18"/>
      <c r="I140" s="8"/>
      <c r="J140" s="9"/>
      <c r="K140" s="9"/>
      <c r="L140" s="9">
        <v>45294</v>
      </c>
      <c r="M140" s="8" t="s">
        <v>1</v>
      </c>
      <c r="N140" s="8"/>
      <c r="O140" s="8"/>
      <c r="P140" s="17"/>
      <c r="Q140" s="8"/>
      <c r="R140" s="5" t="s">
        <v>10</v>
      </c>
      <c r="S140" s="4">
        <f>WEEKNUM(L140)</f>
        <v>1</v>
      </c>
    </row>
    <row r="141" spans="1:19" x14ac:dyDescent="0.35">
      <c r="A141" s="22"/>
      <c r="B141" s="22" t="s">
        <v>168</v>
      </c>
      <c r="C141" s="21" t="s">
        <v>167</v>
      </c>
      <c r="D141" s="14" t="str">
        <f>VLOOKUP(RyS[[#This Row],[NOM]],'[1]Sheet 1'!$A$4:$AR$187,3,0)</f>
        <v>MONTACARGUISTA</v>
      </c>
      <c r="E141" s="20"/>
      <c r="F141" s="9"/>
      <c r="G141" s="19"/>
      <c r="H141" s="18"/>
      <c r="I141" s="8"/>
      <c r="J141" s="9"/>
      <c r="K141" s="9"/>
      <c r="L141" s="9">
        <v>45313</v>
      </c>
      <c r="M141" s="8" t="s">
        <v>1</v>
      </c>
      <c r="N141" s="8"/>
      <c r="O141" s="8"/>
      <c r="P141" s="17"/>
      <c r="Q141" s="8"/>
      <c r="R141" s="5" t="s">
        <v>4</v>
      </c>
      <c r="S141" s="4">
        <f>WEEKNUM(L141)</f>
        <v>4</v>
      </c>
    </row>
    <row r="142" spans="1:19" x14ac:dyDescent="0.35">
      <c r="A142" s="22"/>
      <c r="B142" s="22" t="s">
        <v>166</v>
      </c>
      <c r="C142" s="21" t="s">
        <v>165</v>
      </c>
      <c r="D142" s="14" t="str">
        <f>VLOOKUP(RyS[[#This Row],[NOM]],'[1]Sheet 1'!$A$4:$AR$187,3,0)</f>
        <v>VERIFICADOR</v>
      </c>
      <c r="E142" s="20"/>
      <c r="F142" s="9"/>
      <c r="G142" s="19"/>
      <c r="H142" s="18"/>
      <c r="I142" s="8"/>
      <c r="J142" s="9"/>
      <c r="K142" s="9"/>
      <c r="L142" s="9">
        <v>45308</v>
      </c>
      <c r="M142" s="8" t="s">
        <v>1</v>
      </c>
      <c r="N142" s="8"/>
      <c r="O142" s="8"/>
      <c r="P142" s="17"/>
      <c r="Q142" s="8"/>
      <c r="R142" s="5" t="s">
        <v>34</v>
      </c>
      <c r="S142" s="4">
        <f>WEEKNUM(L142)</f>
        <v>3</v>
      </c>
    </row>
    <row r="143" spans="1:19" x14ac:dyDescent="0.35">
      <c r="A143" s="22"/>
      <c r="B143" s="22" t="s">
        <v>164</v>
      </c>
      <c r="C143" s="21" t="s">
        <v>163</v>
      </c>
      <c r="D143" s="14" t="str">
        <f>VLOOKUP(RyS[[#This Row],[NOM]],'[1]Sheet 1'!$A$4:$AR$187,3,0)</f>
        <v>AUXILIAR DE LOGISTICA</v>
      </c>
      <c r="E143" s="20"/>
      <c r="F143" s="9"/>
      <c r="G143" s="19"/>
      <c r="H143" s="18"/>
      <c r="I143" s="8"/>
      <c r="J143" s="9"/>
      <c r="K143" s="9"/>
      <c r="L143" s="9">
        <v>45296</v>
      </c>
      <c r="M143" s="8" t="s">
        <v>1</v>
      </c>
      <c r="N143" s="8"/>
      <c r="O143" s="8"/>
      <c r="P143" s="17"/>
      <c r="Q143" s="8"/>
      <c r="R143" s="5" t="s">
        <v>34</v>
      </c>
      <c r="S143" s="4">
        <f>WEEKNUM(L143)</f>
        <v>1</v>
      </c>
    </row>
    <row r="144" spans="1:19" x14ac:dyDescent="0.35">
      <c r="A144" s="22"/>
      <c r="B144" s="22" t="s">
        <v>162</v>
      </c>
      <c r="C144" s="21" t="s">
        <v>161</v>
      </c>
      <c r="D144" s="14" t="str">
        <f>VLOOKUP(RyS[[#This Row],[NOM]],'[1]Sheet 1'!$A$4:$AR$187,3,0)</f>
        <v>CONTADOR CICLICO</v>
      </c>
      <c r="E144" s="20"/>
      <c r="F144" s="9"/>
      <c r="G144" s="19"/>
      <c r="H144" s="18"/>
      <c r="I144" s="8"/>
      <c r="J144" s="9"/>
      <c r="K144" s="9"/>
      <c r="L144" s="9">
        <v>45300</v>
      </c>
      <c r="M144" s="8" t="s">
        <v>1</v>
      </c>
      <c r="N144" s="8"/>
      <c r="O144" s="8"/>
      <c r="P144" s="17"/>
      <c r="Q144" s="8"/>
      <c r="R144" s="5" t="s">
        <v>0</v>
      </c>
      <c r="S144" s="4">
        <f>WEEKNUM(L144)</f>
        <v>2</v>
      </c>
    </row>
    <row r="145" spans="1:19" x14ac:dyDescent="0.35">
      <c r="A145" s="22"/>
      <c r="B145" s="22" t="s">
        <v>160</v>
      </c>
      <c r="C145" s="21" t="s">
        <v>159</v>
      </c>
      <c r="D145" s="14" t="str">
        <f>VLOOKUP(RyS[[#This Row],[NOM]],'[1]Sheet 1'!$A$4:$AR$187,3,0)</f>
        <v>AUXILIAR DE PATIO</v>
      </c>
      <c r="E145" s="20"/>
      <c r="F145" s="9"/>
      <c r="G145" s="19"/>
      <c r="H145" s="18"/>
      <c r="I145" s="8"/>
      <c r="J145" s="9"/>
      <c r="K145" s="9"/>
      <c r="L145" s="9">
        <v>45315</v>
      </c>
      <c r="M145" s="8" t="s">
        <v>1</v>
      </c>
      <c r="N145" s="8"/>
      <c r="O145" s="8"/>
      <c r="P145" s="17"/>
      <c r="Q145" s="8"/>
      <c r="R145" s="5" t="s">
        <v>0</v>
      </c>
      <c r="S145" s="4">
        <f>WEEKNUM(L145)</f>
        <v>4</v>
      </c>
    </row>
    <row r="146" spans="1:19" x14ac:dyDescent="0.35">
      <c r="A146" s="22"/>
      <c r="B146" s="22" t="s">
        <v>158</v>
      </c>
      <c r="C146" s="21" t="s">
        <v>157</v>
      </c>
      <c r="D146" s="14" t="str">
        <f>VLOOKUP(RyS[[#This Row],[NOM]],'[1]Sheet 1'!$A$4:$AR$187,3,0)</f>
        <v>AYUDANTE GENERAL</v>
      </c>
      <c r="E146" s="20"/>
      <c r="F146" s="9"/>
      <c r="G146" s="19"/>
      <c r="H146" s="18"/>
      <c r="I146" s="8"/>
      <c r="J146" s="9"/>
      <c r="K146" s="9"/>
      <c r="L146" s="9">
        <v>45316</v>
      </c>
      <c r="M146" s="8" t="s">
        <v>1</v>
      </c>
      <c r="N146" s="8"/>
      <c r="O146" s="8"/>
      <c r="P146" s="17"/>
      <c r="Q146" s="8"/>
      <c r="R146" s="5" t="s">
        <v>22</v>
      </c>
      <c r="S146" s="4">
        <f>WEEKNUM(L146)</f>
        <v>4</v>
      </c>
    </row>
    <row r="147" spans="1:19" x14ac:dyDescent="0.35">
      <c r="A147" s="22"/>
      <c r="B147" s="22" t="s">
        <v>156</v>
      </c>
      <c r="C147" s="21" t="s">
        <v>155</v>
      </c>
      <c r="D147" s="14" t="str">
        <f>VLOOKUP(RyS[[#This Row],[NOM]],'[1]Sheet 1'!$A$4:$AR$187,3,0)</f>
        <v>AYUDANTE GENERAL</v>
      </c>
      <c r="E147" s="20"/>
      <c r="F147" s="9"/>
      <c r="G147" s="19"/>
      <c r="H147" s="18"/>
      <c r="I147" s="8"/>
      <c r="J147" s="9"/>
      <c r="K147" s="9"/>
      <c r="L147" s="9">
        <v>45296</v>
      </c>
      <c r="M147" s="8" t="s">
        <v>1</v>
      </c>
      <c r="N147" s="8"/>
      <c r="O147" s="8"/>
      <c r="P147" s="17"/>
      <c r="Q147" s="8"/>
      <c r="R147" s="5" t="s">
        <v>34</v>
      </c>
      <c r="S147" s="4">
        <f>WEEKNUM(L147)</f>
        <v>1</v>
      </c>
    </row>
    <row r="148" spans="1:19" x14ac:dyDescent="0.35">
      <c r="A148" s="22"/>
      <c r="B148" s="22" t="s">
        <v>154</v>
      </c>
      <c r="C148" s="21" t="s">
        <v>153</v>
      </c>
      <c r="D148" s="14" t="str">
        <f>VLOOKUP(RyS[[#This Row],[NOM]],'[1]Sheet 1'!$A$4:$AR$187,3,0)</f>
        <v>MONTACARGUISTA</v>
      </c>
      <c r="E148" s="20"/>
      <c r="F148" s="9"/>
      <c r="G148" s="19"/>
      <c r="H148" s="18"/>
      <c r="I148" s="8"/>
      <c r="J148" s="9"/>
      <c r="K148" s="9"/>
      <c r="L148" s="9">
        <v>45321</v>
      </c>
      <c r="M148" s="8" t="s">
        <v>1</v>
      </c>
      <c r="N148" s="8"/>
      <c r="O148" s="8"/>
      <c r="P148" s="17"/>
      <c r="Q148" s="8"/>
      <c r="R148" s="5" t="s">
        <v>27</v>
      </c>
      <c r="S148" s="4">
        <f>WEEKNUM(L148)</f>
        <v>5</v>
      </c>
    </row>
    <row r="149" spans="1:19" x14ac:dyDescent="0.35">
      <c r="A149" s="22"/>
      <c r="B149" s="22" t="s">
        <v>152</v>
      </c>
      <c r="C149" s="21" t="s">
        <v>151</v>
      </c>
      <c r="D149" s="14" t="str">
        <f>VLOOKUP(RyS[[#This Row],[NOM]],'[1]Sheet 1'!$A$4:$AR$187,3,0)</f>
        <v>AUXILIAR DE VERIFICACION</v>
      </c>
      <c r="E149" s="20"/>
      <c r="F149" s="9"/>
      <c r="G149" s="19"/>
      <c r="H149" s="18"/>
      <c r="I149" s="8"/>
      <c r="J149" s="9"/>
      <c r="K149" s="9"/>
      <c r="L149" s="9">
        <v>45306</v>
      </c>
      <c r="M149" s="8" t="s">
        <v>1</v>
      </c>
      <c r="N149" s="8"/>
      <c r="O149" s="8"/>
      <c r="P149" s="17"/>
      <c r="Q149" s="8"/>
      <c r="R149" s="5" t="s">
        <v>150</v>
      </c>
      <c r="S149" s="4">
        <f>WEEKNUM(L149)</f>
        <v>3</v>
      </c>
    </row>
    <row r="150" spans="1:19" x14ac:dyDescent="0.35">
      <c r="A150" s="22"/>
      <c r="B150" s="22" t="s">
        <v>149</v>
      </c>
      <c r="C150" s="21" t="s">
        <v>148</v>
      </c>
      <c r="D150" s="14" t="str">
        <f>VLOOKUP(RyS[[#This Row],[NOM]],'[1]Sheet 1'!$A$4:$AR$187,3,0)</f>
        <v>SUPERVISOR DE SERVICIO AL CLIENTE</v>
      </c>
      <c r="E150" s="20"/>
      <c r="F150" s="9"/>
      <c r="G150" s="19"/>
      <c r="H150" s="18"/>
      <c r="I150" s="8"/>
      <c r="J150" s="9"/>
      <c r="K150" s="9"/>
      <c r="L150" s="9">
        <v>45315</v>
      </c>
      <c r="M150" s="8" t="s">
        <v>1</v>
      </c>
      <c r="N150" s="8"/>
      <c r="O150" s="8"/>
      <c r="P150" s="17"/>
      <c r="Q150" s="8"/>
      <c r="R150" s="5" t="s">
        <v>10</v>
      </c>
      <c r="S150" s="4">
        <f>WEEKNUM(L150)</f>
        <v>4</v>
      </c>
    </row>
    <row r="151" spans="1:19" x14ac:dyDescent="0.35">
      <c r="A151" s="22"/>
      <c r="B151" s="22" t="s">
        <v>147</v>
      </c>
      <c r="C151" s="21" t="s">
        <v>146</v>
      </c>
      <c r="D151" s="14" t="str">
        <f>VLOOKUP(RyS[[#This Row],[NOM]],'[1]Sheet 1'!$A$4:$AR$187,3,0)</f>
        <v>AUXILIAR DE SERVICIOS GENERALES</v>
      </c>
      <c r="E151" s="20"/>
      <c r="F151" s="9"/>
      <c r="G151" s="19"/>
      <c r="H151" s="18"/>
      <c r="I151" s="8"/>
      <c r="J151" s="9"/>
      <c r="K151" s="9"/>
      <c r="L151" s="9">
        <v>45310</v>
      </c>
      <c r="M151" s="8" t="s">
        <v>1</v>
      </c>
      <c r="N151" s="8"/>
      <c r="O151" s="8"/>
      <c r="P151" s="17"/>
      <c r="Q151" s="8"/>
      <c r="R151" s="5" t="s">
        <v>13</v>
      </c>
      <c r="S151" s="4">
        <f>WEEKNUM(L151)</f>
        <v>3</v>
      </c>
    </row>
    <row r="152" spans="1:19" x14ac:dyDescent="0.35">
      <c r="A152" s="22"/>
      <c r="B152" s="22" t="s">
        <v>145</v>
      </c>
      <c r="C152" s="21" t="s">
        <v>144</v>
      </c>
      <c r="D152" s="14" t="str">
        <f>VLOOKUP(RyS[[#This Row],[NOM]],'[1]Sheet 1'!$A$4:$AR$187,3,0)</f>
        <v>MONTACARGUISTA</v>
      </c>
      <c r="E152" s="20"/>
      <c r="F152" s="9"/>
      <c r="G152" s="19"/>
      <c r="H152" s="18"/>
      <c r="I152" s="8"/>
      <c r="J152" s="9"/>
      <c r="K152" s="9"/>
      <c r="L152" s="9">
        <v>45302</v>
      </c>
      <c r="M152" s="8" t="s">
        <v>1</v>
      </c>
      <c r="N152" s="8"/>
      <c r="O152" s="8"/>
      <c r="P152" s="17"/>
      <c r="Q152" s="8"/>
      <c r="R152" s="5" t="s">
        <v>141</v>
      </c>
      <c r="S152" s="4">
        <f>WEEKNUM(L152)</f>
        <v>2</v>
      </c>
    </row>
    <row r="153" spans="1:19" x14ac:dyDescent="0.35">
      <c r="A153" s="22"/>
      <c r="B153" s="22" t="s">
        <v>143</v>
      </c>
      <c r="C153" s="21" t="s">
        <v>142</v>
      </c>
      <c r="D153" s="14" t="str">
        <f>VLOOKUP(RyS[[#This Row],[NOM]],'[1]Sheet 1'!$A$4:$AR$187,3,0)</f>
        <v>AYUDANTE GENERAL</v>
      </c>
      <c r="E153" s="20"/>
      <c r="F153" s="9"/>
      <c r="G153" s="19"/>
      <c r="H153" s="18"/>
      <c r="I153" s="8"/>
      <c r="J153" s="9"/>
      <c r="K153" s="9"/>
      <c r="L153" s="9">
        <v>45321</v>
      </c>
      <c r="M153" s="8" t="s">
        <v>1</v>
      </c>
      <c r="N153" s="8"/>
      <c r="O153" s="8"/>
      <c r="P153" s="17"/>
      <c r="Q153" s="8"/>
      <c r="R153" s="5" t="s">
        <v>141</v>
      </c>
      <c r="S153" s="4">
        <f>WEEKNUM(L153)</f>
        <v>5</v>
      </c>
    </row>
    <row r="154" spans="1:19" x14ac:dyDescent="0.35">
      <c r="A154" s="22"/>
      <c r="B154" s="22" t="s">
        <v>140</v>
      </c>
      <c r="C154" s="21" t="s">
        <v>139</v>
      </c>
      <c r="D154" s="14" t="str">
        <f>VLOOKUP(RyS[[#This Row],[NOM]],'[1]Sheet 1'!$A$4:$AR$187,3,0)</f>
        <v>AUXILIAR DE LOGISTICA</v>
      </c>
      <c r="E154" s="20"/>
      <c r="F154" s="9"/>
      <c r="G154" s="19"/>
      <c r="H154" s="18"/>
      <c r="I154" s="8"/>
      <c r="J154" s="9"/>
      <c r="K154" s="9"/>
      <c r="L154" s="9">
        <v>45296</v>
      </c>
      <c r="M154" s="8" t="s">
        <v>1</v>
      </c>
      <c r="N154" s="8"/>
      <c r="O154" s="8"/>
      <c r="P154" s="17"/>
      <c r="Q154" s="8"/>
      <c r="R154" s="5" t="s">
        <v>27</v>
      </c>
      <c r="S154" s="4">
        <f>WEEKNUM(L154)</f>
        <v>1</v>
      </c>
    </row>
    <row r="155" spans="1:19" x14ac:dyDescent="0.35">
      <c r="A155" s="22"/>
      <c r="B155" s="22" t="s">
        <v>138</v>
      </c>
      <c r="C155" s="21" t="s">
        <v>137</v>
      </c>
      <c r="D155" s="14" t="str">
        <f>VLOOKUP(RyS[[#This Row],[NOM]],'[1]Sheet 1'!$A$4:$AR$187,3,0)</f>
        <v>AUXILIAR DE SERVICIOS GENERALES</v>
      </c>
      <c r="E155" s="20"/>
      <c r="F155" s="9"/>
      <c r="G155" s="19"/>
      <c r="H155" s="18"/>
      <c r="I155" s="8"/>
      <c r="J155" s="9"/>
      <c r="K155" s="9"/>
      <c r="L155" s="9">
        <v>45307</v>
      </c>
      <c r="M155" s="8" t="s">
        <v>1</v>
      </c>
      <c r="N155" s="8"/>
      <c r="O155" s="8"/>
      <c r="P155" s="17"/>
      <c r="Q155" s="8"/>
      <c r="R155" s="5" t="s">
        <v>7</v>
      </c>
      <c r="S155" s="4">
        <f>WEEKNUM(L155)</f>
        <v>3</v>
      </c>
    </row>
    <row r="156" spans="1:19" x14ac:dyDescent="0.35">
      <c r="A156" s="22"/>
      <c r="B156" s="22" t="s">
        <v>136</v>
      </c>
      <c r="C156" s="21" t="s">
        <v>135</v>
      </c>
      <c r="D156" s="14" t="str">
        <f>VLOOKUP(RyS[[#This Row],[NOM]],'[1]Sheet 1'!$A$4:$AR$187,3,0)</f>
        <v>AYUDANTE GENERAL</v>
      </c>
      <c r="E156" s="20"/>
      <c r="F156" s="9"/>
      <c r="G156" s="19"/>
      <c r="H156" s="18"/>
      <c r="I156" s="8"/>
      <c r="J156" s="9"/>
      <c r="K156" s="9"/>
      <c r="L156" s="9">
        <v>45315</v>
      </c>
      <c r="M156" s="8" t="s">
        <v>1</v>
      </c>
      <c r="N156" s="8"/>
      <c r="O156" s="8"/>
      <c r="P156" s="17"/>
      <c r="Q156" s="8"/>
      <c r="R156" s="5" t="s">
        <v>10</v>
      </c>
      <c r="S156" s="4">
        <f>WEEKNUM(L156)</f>
        <v>4</v>
      </c>
    </row>
    <row r="157" spans="1:19" x14ac:dyDescent="0.35">
      <c r="A157" s="22"/>
      <c r="B157" s="22" t="s">
        <v>134</v>
      </c>
      <c r="C157" s="21" t="s">
        <v>133</v>
      </c>
      <c r="D157" s="14" t="str">
        <f>VLOOKUP(RyS[[#This Row],[NOM]],'[1]Sheet 1'!$A$4:$AR$187,3,0)</f>
        <v>AUXILIAR DE SERVICIOS GENERALES</v>
      </c>
      <c r="E157" s="20"/>
      <c r="F157" s="9"/>
      <c r="G157" s="19"/>
      <c r="H157" s="18"/>
      <c r="I157" s="8"/>
      <c r="J157" s="9"/>
      <c r="K157" s="9"/>
      <c r="L157" s="9">
        <v>45328</v>
      </c>
      <c r="M157" s="8" t="s">
        <v>1</v>
      </c>
      <c r="N157" s="8"/>
      <c r="O157" s="8"/>
      <c r="P157" s="17"/>
      <c r="Q157" s="8"/>
      <c r="R157" s="5" t="s">
        <v>7</v>
      </c>
      <c r="S157" s="4">
        <f>WEEKNUM(L157)</f>
        <v>6</v>
      </c>
    </row>
    <row r="158" spans="1:19" x14ac:dyDescent="0.35">
      <c r="A158" s="22"/>
      <c r="B158" s="22" t="s">
        <v>132</v>
      </c>
      <c r="C158" s="21" t="s">
        <v>131</v>
      </c>
      <c r="D158" s="14" t="str">
        <f>VLOOKUP(RyS[[#This Row],[NOM]],'[1]Sheet 1'!$A$4:$AR$187,3,0)</f>
        <v>AYUDANTE GENERAL</v>
      </c>
      <c r="E158" s="20"/>
      <c r="F158" s="9"/>
      <c r="G158" s="19"/>
      <c r="H158" s="18"/>
      <c r="I158" s="8"/>
      <c r="J158" s="9"/>
      <c r="K158" s="9"/>
      <c r="L158" s="9">
        <v>45303</v>
      </c>
      <c r="M158" s="8" t="s">
        <v>1</v>
      </c>
      <c r="N158" s="8"/>
      <c r="O158" s="8"/>
      <c r="P158" s="17"/>
      <c r="Q158" s="8"/>
      <c r="R158" s="5" t="s">
        <v>27</v>
      </c>
      <c r="S158" s="4">
        <f>WEEKNUM(L158)</f>
        <v>2</v>
      </c>
    </row>
    <row r="159" spans="1:19" x14ac:dyDescent="0.35">
      <c r="A159" s="22"/>
      <c r="B159" s="22" t="s">
        <v>130</v>
      </c>
      <c r="C159" s="21" t="s">
        <v>129</v>
      </c>
      <c r="D159" s="14" t="str">
        <f>VLOOKUP(RyS[[#This Row],[NOM]],'[1]Sheet 1'!$A$4:$AR$187,3,0)</f>
        <v>AUXILIAR DE SERVICIOS GENERALES</v>
      </c>
      <c r="E159" s="20"/>
      <c r="F159" s="9"/>
      <c r="G159" s="19"/>
      <c r="H159" s="18"/>
      <c r="I159" s="8"/>
      <c r="J159" s="9"/>
      <c r="K159" s="9"/>
      <c r="L159" s="9">
        <v>45316</v>
      </c>
      <c r="M159" s="8" t="s">
        <v>1</v>
      </c>
      <c r="N159" s="8"/>
      <c r="O159" s="8"/>
      <c r="P159" s="17"/>
      <c r="Q159" s="8"/>
      <c r="R159" s="5" t="s">
        <v>13</v>
      </c>
      <c r="S159" s="4">
        <f>WEEKNUM(L159)</f>
        <v>4</v>
      </c>
    </row>
    <row r="160" spans="1:19" x14ac:dyDescent="0.35">
      <c r="A160" s="22"/>
      <c r="B160" s="22" t="s">
        <v>128</v>
      </c>
      <c r="C160" s="21" t="s">
        <v>127</v>
      </c>
      <c r="D160" s="14" t="str">
        <f>VLOOKUP(RyS[[#This Row],[NOM]],'[1]Sheet 1'!$A$4:$AR$187,3,0)</f>
        <v>AYUDANTE GENERAL</v>
      </c>
      <c r="E160" s="20"/>
      <c r="F160" s="9"/>
      <c r="G160" s="19"/>
      <c r="H160" s="18"/>
      <c r="I160" s="8"/>
      <c r="J160" s="9"/>
      <c r="K160" s="9"/>
      <c r="L160" s="9">
        <v>45314</v>
      </c>
      <c r="M160" s="8" t="s">
        <v>1</v>
      </c>
      <c r="N160" s="8"/>
      <c r="O160" s="8"/>
      <c r="P160" s="17"/>
      <c r="Q160" s="8"/>
      <c r="R160" s="5" t="s">
        <v>34</v>
      </c>
      <c r="S160" s="4">
        <f>WEEKNUM(L160)</f>
        <v>4</v>
      </c>
    </row>
    <row r="161" spans="1:19" x14ac:dyDescent="0.35">
      <c r="A161" s="22"/>
      <c r="B161" s="22" t="s">
        <v>126</v>
      </c>
      <c r="C161" s="21" t="s">
        <v>125</v>
      </c>
      <c r="D161" s="14" t="str">
        <f>VLOOKUP(RyS[[#This Row],[NOM]],'[1]Sheet 1'!$A$4:$AR$187,3,0)</f>
        <v>AUXILIAR DE SERVICIOS GENERALES</v>
      </c>
      <c r="E161" s="20"/>
      <c r="F161" s="9"/>
      <c r="G161" s="19"/>
      <c r="H161" s="18"/>
      <c r="I161" s="8"/>
      <c r="J161" s="9"/>
      <c r="K161" s="9"/>
      <c r="L161" s="9">
        <v>45315</v>
      </c>
      <c r="M161" s="8" t="s">
        <v>1</v>
      </c>
      <c r="N161" s="8"/>
      <c r="O161" s="8"/>
      <c r="P161" s="17"/>
      <c r="Q161" s="8"/>
      <c r="R161" s="5" t="s">
        <v>0</v>
      </c>
      <c r="S161" s="4">
        <f>WEEKNUM(L161)</f>
        <v>4</v>
      </c>
    </row>
    <row r="162" spans="1:19" x14ac:dyDescent="0.35">
      <c r="A162" s="22"/>
      <c r="B162" s="22" t="s">
        <v>124</v>
      </c>
      <c r="C162" s="21" t="s">
        <v>123</v>
      </c>
      <c r="D162" s="14" t="str">
        <f>VLOOKUP(RyS[[#This Row],[NOM]],'[1]Sheet 1'!$A$4:$AR$187,3,0)</f>
        <v>AUXILIAR DE SERVICIOS GENERALES</v>
      </c>
      <c r="E162" s="20"/>
      <c r="F162" s="9"/>
      <c r="G162" s="19"/>
      <c r="H162" s="18"/>
      <c r="I162" s="8"/>
      <c r="J162" s="9"/>
      <c r="K162" s="9"/>
      <c r="L162" s="9">
        <v>45294</v>
      </c>
      <c r="M162" s="8" t="s">
        <v>1</v>
      </c>
      <c r="N162" s="8"/>
      <c r="O162" s="8"/>
      <c r="P162" s="17"/>
      <c r="Q162" s="8"/>
      <c r="R162" s="5" t="s">
        <v>7</v>
      </c>
      <c r="S162" s="4">
        <f>WEEKNUM(L162)</f>
        <v>1</v>
      </c>
    </row>
    <row r="163" spans="1:19" x14ac:dyDescent="0.35">
      <c r="A163" s="22"/>
      <c r="B163" s="22" t="s">
        <v>122</v>
      </c>
      <c r="C163" s="21" t="s">
        <v>121</v>
      </c>
      <c r="D163" s="14" t="str">
        <f>VLOOKUP(RyS[[#This Row],[NOM]],'[1]Sheet 1'!$A$4:$AR$187,3,0)</f>
        <v>AYUDANTE GENERAL</v>
      </c>
      <c r="E163" s="20"/>
      <c r="F163" s="9"/>
      <c r="G163" s="19"/>
      <c r="H163" s="18"/>
      <c r="I163" s="8"/>
      <c r="J163" s="9"/>
      <c r="K163" s="9"/>
      <c r="L163" s="9">
        <v>45310</v>
      </c>
      <c r="M163" s="8" t="s">
        <v>1</v>
      </c>
      <c r="N163" s="8"/>
      <c r="O163" s="8"/>
      <c r="P163" s="17"/>
      <c r="Q163" s="8"/>
      <c r="R163" s="5" t="s">
        <v>34</v>
      </c>
      <c r="S163" s="4">
        <f>WEEKNUM(L163)</f>
        <v>3</v>
      </c>
    </row>
    <row r="164" spans="1:19" x14ac:dyDescent="0.35">
      <c r="A164" s="22"/>
      <c r="B164" s="22" t="s">
        <v>120</v>
      </c>
      <c r="C164" s="21" t="s">
        <v>119</v>
      </c>
      <c r="D164" s="14" t="str">
        <f>VLOOKUP(RyS[[#This Row],[NOM]],'[1]Sheet 1'!$A$4:$AR$187,3,0)</f>
        <v>AYUDANTE GENERAL</v>
      </c>
      <c r="E164" s="20"/>
      <c r="F164" s="9"/>
      <c r="G164" s="19"/>
      <c r="H164" s="18"/>
      <c r="I164" s="8"/>
      <c r="J164" s="9"/>
      <c r="K164" s="9"/>
      <c r="L164" s="9">
        <v>45316</v>
      </c>
      <c r="M164" s="8" t="s">
        <v>1</v>
      </c>
      <c r="N164" s="8"/>
      <c r="O164" s="8"/>
      <c r="P164" s="17"/>
      <c r="Q164" s="8"/>
      <c r="R164" s="5" t="s">
        <v>27</v>
      </c>
      <c r="S164" s="4">
        <f>WEEKNUM(L164)</f>
        <v>4</v>
      </c>
    </row>
    <row r="165" spans="1:19" x14ac:dyDescent="0.35">
      <c r="A165" s="22"/>
      <c r="B165" s="22" t="s">
        <v>118</v>
      </c>
      <c r="C165" s="21" t="s">
        <v>117</v>
      </c>
      <c r="D165" s="14" t="str">
        <f>VLOOKUP(RyS[[#This Row],[NOM]],'[1]Sheet 1'!$A$4:$AR$187,3,0)</f>
        <v>AUXILIAR DE SERVICIOS GENERALES</v>
      </c>
      <c r="E165" s="20"/>
      <c r="F165" s="9"/>
      <c r="G165" s="19"/>
      <c r="H165" s="18"/>
      <c r="I165" s="8"/>
      <c r="J165" s="9"/>
      <c r="K165" s="9"/>
      <c r="L165" s="9">
        <v>45328</v>
      </c>
      <c r="M165" s="8" t="s">
        <v>1</v>
      </c>
      <c r="N165" s="8"/>
      <c r="O165" s="8"/>
      <c r="P165" s="17"/>
      <c r="Q165" s="8"/>
      <c r="R165" s="5" t="s">
        <v>7</v>
      </c>
      <c r="S165" s="4">
        <f>WEEKNUM(L165)</f>
        <v>6</v>
      </c>
    </row>
    <row r="166" spans="1:19" x14ac:dyDescent="0.35">
      <c r="A166" s="22"/>
      <c r="B166" s="22" t="s">
        <v>116</v>
      </c>
      <c r="C166" s="21" t="s">
        <v>115</v>
      </c>
      <c r="D166" s="14" t="str">
        <f>VLOOKUP(RyS[[#This Row],[NOM]],'[1]Sheet 1'!$A$4:$AR$187,3,0)</f>
        <v>AUXILIAR DE OPERACIONES</v>
      </c>
      <c r="E166" s="20"/>
      <c r="F166" s="9"/>
      <c r="G166" s="19"/>
      <c r="H166" s="18"/>
      <c r="I166" s="8"/>
      <c r="J166" s="9"/>
      <c r="K166" s="9"/>
      <c r="L166" s="9">
        <v>45299</v>
      </c>
      <c r="M166" s="8" t="s">
        <v>1</v>
      </c>
      <c r="N166" s="8"/>
      <c r="O166" s="8"/>
      <c r="P166" s="17"/>
      <c r="Q166" s="8"/>
      <c r="R166" s="5" t="s">
        <v>13</v>
      </c>
      <c r="S166" s="4">
        <f>WEEKNUM(L166)</f>
        <v>2</v>
      </c>
    </row>
    <row r="167" spans="1:19" x14ac:dyDescent="0.35">
      <c r="A167" s="22"/>
      <c r="B167" s="22" t="s">
        <v>114</v>
      </c>
      <c r="C167" s="21" t="s">
        <v>113</v>
      </c>
      <c r="D167" s="14" t="str">
        <f>VLOOKUP(RyS[[#This Row],[NOM]],'[1]Sheet 1'!$A$4:$AR$187,3,0)</f>
        <v>CONTADOR CICLICO</v>
      </c>
      <c r="E167" s="20"/>
      <c r="F167" s="9"/>
      <c r="G167" s="19"/>
      <c r="H167" s="18"/>
      <c r="I167" s="8"/>
      <c r="J167" s="9"/>
      <c r="K167" s="9"/>
      <c r="L167" s="9">
        <v>45308</v>
      </c>
      <c r="M167" s="8" t="s">
        <v>1</v>
      </c>
      <c r="N167" s="8"/>
      <c r="O167" s="8"/>
      <c r="P167" s="17"/>
      <c r="Q167" s="8"/>
      <c r="R167" s="5" t="s">
        <v>7</v>
      </c>
      <c r="S167" s="4">
        <f>WEEKNUM(L167)</f>
        <v>3</v>
      </c>
    </row>
    <row r="168" spans="1:19" x14ac:dyDescent="0.35">
      <c r="A168" s="22"/>
      <c r="B168" s="22" t="s">
        <v>112</v>
      </c>
      <c r="C168" s="21" t="s">
        <v>111</v>
      </c>
      <c r="D168" s="14" t="str">
        <f>VLOOKUP(RyS[[#This Row],[NOM]],'[1]Sheet 1'!$A$4:$AR$187,3,0)</f>
        <v>AUXILIAR DE SERVICIOS GENERALES</v>
      </c>
      <c r="E168" s="20"/>
      <c r="F168" s="9"/>
      <c r="G168" s="19"/>
      <c r="H168" s="18"/>
      <c r="I168" s="8"/>
      <c r="J168" s="9"/>
      <c r="K168" s="9"/>
      <c r="L168" s="9">
        <v>45302</v>
      </c>
      <c r="M168" s="8" t="s">
        <v>1</v>
      </c>
      <c r="N168" s="8"/>
      <c r="O168" s="8"/>
      <c r="P168" s="17"/>
      <c r="Q168" s="8"/>
      <c r="R168" s="5" t="s">
        <v>4</v>
      </c>
      <c r="S168" s="4">
        <f>WEEKNUM(L168)</f>
        <v>2</v>
      </c>
    </row>
    <row r="169" spans="1:19" x14ac:dyDescent="0.35">
      <c r="A169" s="22"/>
      <c r="B169" s="22" t="s">
        <v>110</v>
      </c>
      <c r="C169" s="21" t="s">
        <v>109</v>
      </c>
      <c r="D169" s="14" t="str">
        <f>VLOOKUP(RyS[[#This Row],[NOM]],'[1]Sheet 1'!$A$4:$AR$187,3,0)</f>
        <v>AUXILIAR DE SERVICIOS GENERALES</v>
      </c>
      <c r="E169" s="20"/>
      <c r="F169" s="9"/>
      <c r="G169" s="19"/>
      <c r="H169" s="18"/>
      <c r="I169" s="8"/>
      <c r="J169" s="9"/>
      <c r="K169" s="9"/>
      <c r="L169" s="9">
        <v>45313</v>
      </c>
      <c r="M169" s="8" t="s">
        <v>1</v>
      </c>
      <c r="N169" s="8"/>
      <c r="O169" s="8"/>
      <c r="P169" s="17"/>
      <c r="Q169" s="8"/>
      <c r="R169" s="5" t="s">
        <v>4</v>
      </c>
      <c r="S169" s="4">
        <f>WEEKNUM(L169)</f>
        <v>4</v>
      </c>
    </row>
    <row r="170" spans="1:19" x14ac:dyDescent="0.35">
      <c r="A170" s="22"/>
      <c r="B170" s="22" t="s">
        <v>108</v>
      </c>
      <c r="C170" s="21" t="s">
        <v>107</v>
      </c>
      <c r="D170" s="14" t="str">
        <f>VLOOKUP(RyS[[#This Row],[NOM]],'[1]Sheet 1'!$A$4:$AR$187,3,0)</f>
        <v>MONTACARGUISTA</v>
      </c>
      <c r="E170" s="20"/>
      <c r="F170" s="9"/>
      <c r="G170" s="19"/>
      <c r="H170" s="18"/>
      <c r="I170" s="8"/>
      <c r="J170" s="9"/>
      <c r="K170" s="9"/>
      <c r="L170" s="9">
        <v>45299</v>
      </c>
      <c r="M170" s="8" t="s">
        <v>1</v>
      </c>
      <c r="N170" s="8"/>
      <c r="O170" s="8"/>
      <c r="P170" s="17"/>
      <c r="Q170" s="8"/>
      <c r="R170" s="5" t="s">
        <v>4</v>
      </c>
      <c r="S170" s="4">
        <f>WEEKNUM(L170)</f>
        <v>2</v>
      </c>
    </row>
    <row r="171" spans="1:19" x14ac:dyDescent="0.35">
      <c r="A171" s="22"/>
      <c r="B171" s="22" t="s">
        <v>106</v>
      </c>
      <c r="C171" s="21" t="s">
        <v>105</v>
      </c>
      <c r="D171" s="14" t="str">
        <f>VLOOKUP(RyS[[#This Row],[NOM]],'[1]Sheet 1'!$A$4:$AR$187,3,0)</f>
        <v>AUXILIAR DE SERVICIOS GENERALES</v>
      </c>
      <c r="E171" s="20"/>
      <c r="F171" s="9"/>
      <c r="G171" s="19"/>
      <c r="H171" s="18"/>
      <c r="I171" s="8"/>
      <c r="J171" s="9"/>
      <c r="K171" s="9"/>
      <c r="L171" s="9">
        <v>45295</v>
      </c>
      <c r="M171" s="8" t="s">
        <v>1</v>
      </c>
      <c r="N171" s="8"/>
      <c r="O171" s="8"/>
      <c r="P171" s="17"/>
      <c r="Q171" s="8"/>
      <c r="R171" s="5" t="s">
        <v>7</v>
      </c>
      <c r="S171" s="4">
        <f>WEEKNUM(L171)</f>
        <v>1</v>
      </c>
    </row>
    <row r="172" spans="1:19" x14ac:dyDescent="0.35">
      <c r="A172" s="22"/>
      <c r="B172" s="22" t="s">
        <v>104</v>
      </c>
      <c r="C172" s="21" t="s">
        <v>103</v>
      </c>
      <c r="D172" s="14" t="str">
        <f>VLOOKUP(RyS[[#This Row],[NOM]],'[1]Sheet 1'!$A$4:$AR$187,3,0)</f>
        <v>ANALISTA DE INVENTARIOS</v>
      </c>
      <c r="E172" s="20"/>
      <c r="F172" s="9"/>
      <c r="G172" s="19"/>
      <c r="H172" s="18"/>
      <c r="I172" s="8"/>
      <c r="J172" s="9"/>
      <c r="K172" s="9"/>
      <c r="L172" s="9">
        <v>45324</v>
      </c>
      <c r="M172" s="8" t="s">
        <v>1</v>
      </c>
      <c r="N172" s="8"/>
      <c r="O172" s="8"/>
      <c r="P172" s="17"/>
      <c r="Q172" s="8"/>
      <c r="R172" s="5" t="s">
        <v>13</v>
      </c>
      <c r="S172" s="4">
        <f>WEEKNUM(L172)</f>
        <v>5</v>
      </c>
    </row>
    <row r="173" spans="1:19" x14ac:dyDescent="0.35">
      <c r="A173" s="22"/>
      <c r="B173" s="22" t="s">
        <v>102</v>
      </c>
      <c r="C173" s="21" t="s">
        <v>101</v>
      </c>
      <c r="D173" s="14" t="str">
        <f>VLOOKUP(RyS[[#This Row],[NOM]],'[1]Sheet 1'!$A$4:$AR$187,3,0)</f>
        <v>CONTADOR CICLICO</v>
      </c>
      <c r="E173" s="20"/>
      <c r="F173" s="9"/>
      <c r="G173" s="19"/>
      <c r="H173" s="18"/>
      <c r="I173" s="8"/>
      <c r="J173" s="9"/>
      <c r="K173" s="9"/>
      <c r="L173" s="9">
        <v>45308</v>
      </c>
      <c r="M173" s="8" t="s">
        <v>1</v>
      </c>
      <c r="N173" s="8"/>
      <c r="O173" s="8"/>
      <c r="P173" s="17"/>
      <c r="Q173" s="8"/>
      <c r="R173" s="5" t="s">
        <v>0</v>
      </c>
      <c r="S173" s="4">
        <f>WEEKNUM(L173)</f>
        <v>3</v>
      </c>
    </row>
    <row r="174" spans="1:19" x14ac:dyDescent="0.35">
      <c r="A174" s="22"/>
      <c r="B174" s="22" t="s">
        <v>100</v>
      </c>
      <c r="C174" s="21" t="s">
        <v>99</v>
      </c>
      <c r="D174" s="14" t="str">
        <f>VLOOKUP(RyS[[#This Row],[NOM]],'[1]Sheet 1'!$A$4:$AR$187,3,0)</f>
        <v>AUXILIAR DE INTENDENCIA</v>
      </c>
      <c r="E174" s="20"/>
      <c r="F174" s="9"/>
      <c r="G174" s="19"/>
      <c r="H174" s="18"/>
      <c r="I174" s="8"/>
      <c r="J174" s="9"/>
      <c r="K174" s="9"/>
      <c r="L174" s="9">
        <v>45300</v>
      </c>
      <c r="M174" s="8" t="s">
        <v>1</v>
      </c>
      <c r="N174" s="8"/>
      <c r="O174" s="8"/>
      <c r="P174" s="17"/>
      <c r="Q174" s="8"/>
      <c r="R174" s="5" t="s">
        <v>27</v>
      </c>
      <c r="S174" s="4">
        <f>WEEKNUM(L174)</f>
        <v>2</v>
      </c>
    </row>
    <row r="175" spans="1:19" x14ac:dyDescent="0.35">
      <c r="A175" s="22"/>
      <c r="B175" s="22" t="s">
        <v>98</v>
      </c>
      <c r="C175" s="21" t="s">
        <v>97</v>
      </c>
      <c r="D175" s="14" t="str">
        <f>VLOOKUP(RyS[[#This Row],[NOM]],'[1]Sheet 1'!$A$4:$AR$187,3,0)</f>
        <v>CONTADOR CICLICO</v>
      </c>
      <c r="E175" s="20"/>
      <c r="F175" s="9"/>
      <c r="G175" s="19"/>
      <c r="H175" s="18"/>
      <c r="I175" s="8"/>
      <c r="J175" s="9"/>
      <c r="K175" s="9"/>
      <c r="L175" s="9">
        <v>45302</v>
      </c>
      <c r="M175" s="8" t="s">
        <v>1</v>
      </c>
      <c r="N175" s="8"/>
      <c r="O175" s="8"/>
      <c r="P175" s="17"/>
      <c r="Q175" s="8"/>
      <c r="R175" s="5" t="s">
        <v>4</v>
      </c>
      <c r="S175" s="4">
        <f>WEEKNUM(L175)</f>
        <v>2</v>
      </c>
    </row>
    <row r="176" spans="1:19" x14ac:dyDescent="0.35">
      <c r="A176" s="22"/>
      <c r="B176" s="22" t="s">
        <v>96</v>
      </c>
      <c r="C176" s="21" t="s">
        <v>95</v>
      </c>
      <c r="D176" s="14" t="str">
        <f>VLOOKUP(RyS[[#This Row],[NOM]],'[1]Sheet 1'!$A$4:$AR$187,3,0)</f>
        <v>AUXILIAR DE SERVICIOS GENERALES</v>
      </c>
      <c r="E176" s="20"/>
      <c r="F176" s="9"/>
      <c r="G176" s="19"/>
      <c r="H176" s="18"/>
      <c r="I176" s="8"/>
      <c r="J176" s="9"/>
      <c r="K176" s="9"/>
      <c r="L176" s="9">
        <v>45315</v>
      </c>
      <c r="M176" s="8" t="s">
        <v>1</v>
      </c>
      <c r="N176" s="8"/>
      <c r="O176" s="8"/>
      <c r="P176" s="17"/>
      <c r="Q176" s="8"/>
      <c r="R176" s="5" t="s">
        <v>7</v>
      </c>
      <c r="S176" s="4">
        <f>WEEKNUM(L176)</f>
        <v>4</v>
      </c>
    </row>
    <row r="177" spans="1:19" x14ac:dyDescent="0.35">
      <c r="A177" s="22"/>
      <c r="B177" s="22" t="s">
        <v>94</v>
      </c>
      <c r="C177" s="21" t="s">
        <v>93</v>
      </c>
      <c r="D177" s="14" t="str">
        <f>VLOOKUP(RyS[[#This Row],[NOM]],'[1]Sheet 1'!$A$4:$AR$187,3,0)</f>
        <v>VERIFICADOR</v>
      </c>
      <c r="E177" s="20"/>
      <c r="F177" s="9"/>
      <c r="G177" s="19"/>
      <c r="H177" s="18"/>
      <c r="I177" s="8"/>
      <c r="J177" s="9"/>
      <c r="K177" s="9"/>
      <c r="L177" s="9">
        <v>45296</v>
      </c>
      <c r="M177" s="8" t="s">
        <v>1</v>
      </c>
      <c r="N177" s="8"/>
      <c r="O177" s="8"/>
      <c r="P177" s="17"/>
      <c r="Q177" s="8"/>
      <c r="R177" s="5" t="s">
        <v>34</v>
      </c>
      <c r="S177" s="4">
        <f>WEEKNUM(L177)</f>
        <v>1</v>
      </c>
    </row>
    <row r="178" spans="1:19" x14ac:dyDescent="0.35">
      <c r="A178" s="22"/>
      <c r="B178" s="22" t="s">
        <v>92</v>
      </c>
      <c r="C178" s="21" t="s">
        <v>91</v>
      </c>
      <c r="D178" s="14" t="str">
        <f>VLOOKUP(RyS[[#This Row],[NOM]],'[1]Sheet 1'!$A$4:$AR$187,3,0)</f>
        <v>CONTADOR CICLICO</v>
      </c>
      <c r="E178" s="20"/>
      <c r="F178" s="9"/>
      <c r="G178" s="19"/>
      <c r="H178" s="18"/>
      <c r="I178" s="8"/>
      <c r="J178" s="9"/>
      <c r="K178" s="9"/>
      <c r="L178" s="9">
        <v>45303</v>
      </c>
      <c r="M178" s="8" t="s">
        <v>1</v>
      </c>
      <c r="N178" s="8"/>
      <c r="O178" s="8"/>
      <c r="P178" s="17"/>
      <c r="Q178" s="8"/>
      <c r="R178" s="5" t="s">
        <v>27</v>
      </c>
      <c r="S178" s="4">
        <f>WEEKNUM(L178)</f>
        <v>2</v>
      </c>
    </row>
    <row r="179" spans="1:19" x14ac:dyDescent="0.35">
      <c r="A179" s="22"/>
      <c r="B179" s="22" t="s">
        <v>90</v>
      </c>
      <c r="C179" s="21" t="s">
        <v>89</v>
      </c>
      <c r="D179" s="14" t="str">
        <f>VLOOKUP(RyS[[#This Row],[NOM]],'[1]Sheet 1'!$A$4:$AR$187,3,0)</f>
        <v>AYUDANTE GENERAL</v>
      </c>
      <c r="E179" s="20"/>
      <c r="F179" s="9"/>
      <c r="G179" s="19"/>
      <c r="H179" s="18"/>
      <c r="I179" s="8"/>
      <c r="J179" s="9"/>
      <c r="K179" s="9"/>
      <c r="L179" s="9">
        <v>45303</v>
      </c>
      <c r="M179" s="8" t="s">
        <v>1</v>
      </c>
      <c r="N179" s="8"/>
      <c r="O179" s="8"/>
      <c r="P179" s="17"/>
      <c r="Q179" s="8"/>
      <c r="R179" s="5" t="s">
        <v>34</v>
      </c>
      <c r="S179" s="4">
        <f>WEEKNUM(L179)</f>
        <v>2</v>
      </c>
    </row>
    <row r="180" spans="1:19" x14ac:dyDescent="0.35">
      <c r="A180" s="22"/>
      <c r="B180" s="22" t="s">
        <v>88</v>
      </c>
      <c r="C180" s="21" t="s">
        <v>87</v>
      </c>
      <c r="D180" s="14" t="str">
        <f>VLOOKUP(RyS[[#This Row],[NOM]],'[1]Sheet 1'!$A$4:$AR$187,3,0)</f>
        <v>MONTACARGUISTA</v>
      </c>
      <c r="E180" s="20"/>
      <c r="F180" s="9"/>
      <c r="G180" s="19"/>
      <c r="H180" s="18"/>
      <c r="I180" s="8"/>
      <c r="J180" s="9"/>
      <c r="K180" s="9"/>
      <c r="L180" s="9">
        <v>45299</v>
      </c>
      <c r="M180" s="8" t="s">
        <v>1</v>
      </c>
      <c r="N180" s="8"/>
      <c r="O180" s="8"/>
      <c r="P180" s="17"/>
      <c r="Q180" s="8"/>
      <c r="R180" s="5" t="s">
        <v>4</v>
      </c>
      <c r="S180" s="4">
        <f>WEEKNUM(L180)</f>
        <v>2</v>
      </c>
    </row>
    <row r="181" spans="1:19" x14ac:dyDescent="0.35">
      <c r="A181" s="22"/>
      <c r="B181" s="22" t="s">
        <v>86</v>
      </c>
      <c r="C181" s="21" t="s">
        <v>85</v>
      </c>
      <c r="D181" s="14" t="str">
        <f>VLOOKUP(RyS[[#This Row],[NOM]],'[1]Sheet 1'!$A$4:$AR$187,3,0)</f>
        <v>MONTACARGUISTA</v>
      </c>
      <c r="E181" s="20"/>
      <c r="F181" s="9"/>
      <c r="G181" s="19"/>
      <c r="H181" s="18"/>
      <c r="I181" s="8"/>
      <c r="J181" s="9"/>
      <c r="K181" s="9"/>
      <c r="L181" s="9">
        <v>45308</v>
      </c>
      <c r="M181" s="8" t="s">
        <v>1</v>
      </c>
      <c r="N181" s="8"/>
      <c r="O181" s="8"/>
      <c r="P181" s="17"/>
      <c r="Q181" s="8"/>
      <c r="R181" s="5" t="s">
        <v>0</v>
      </c>
      <c r="S181" s="4">
        <f>WEEKNUM(L181)</f>
        <v>3</v>
      </c>
    </row>
    <row r="182" spans="1:19" x14ac:dyDescent="0.35">
      <c r="A182" s="22"/>
      <c r="B182" s="22" t="s">
        <v>84</v>
      </c>
      <c r="C182" s="21" t="s">
        <v>83</v>
      </c>
      <c r="D182" s="14" t="str">
        <f>VLOOKUP(RyS[[#This Row],[NOM]],'[1]Sheet 1'!$A$4:$AR$187,3,0)</f>
        <v>AUXILIAR DE SERVICIOS GENERALES</v>
      </c>
      <c r="E182" s="20"/>
      <c r="F182" s="9"/>
      <c r="G182" s="19"/>
      <c r="H182" s="18"/>
      <c r="I182" s="8"/>
      <c r="J182" s="9"/>
      <c r="K182" s="9"/>
      <c r="L182" s="9">
        <v>45315</v>
      </c>
      <c r="M182" s="8" t="s">
        <v>1</v>
      </c>
      <c r="N182" s="8"/>
      <c r="O182" s="8"/>
      <c r="P182" s="17"/>
      <c r="Q182" s="8"/>
      <c r="R182" s="5" t="s">
        <v>0</v>
      </c>
      <c r="S182" s="4">
        <f>WEEKNUM(L182)</f>
        <v>4</v>
      </c>
    </row>
    <row r="183" spans="1:19" x14ac:dyDescent="0.35">
      <c r="A183" s="22"/>
      <c r="B183" s="22" t="s">
        <v>82</v>
      </c>
      <c r="C183" s="21" t="s">
        <v>81</v>
      </c>
      <c r="D183" s="14" t="str">
        <f>VLOOKUP(RyS[[#This Row],[NOM]],'[1]Sheet 1'!$A$4:$AR$187,3,0)</f>
        <v>AYUDANTE GENERAL</v>
      </c>
      <c r="E183" s="20"/>
      <c r="F183" s="9"/>
      <c r="G183" s="19"/>
      <c r="H183" s="18"/>
      <c r="I183" s="8"/>
      <c r="J183" s="9"/>
      <c r="K183" s="9"/>
      <c r="L183" s="9">
        <v>45328</v>
      </c>
      <c r="M183" s="8" t="s">
        <v>1</v>
      </c>
      <c r="N183" s="8"/>
      <c r="O183" s="8"/>
      <c r="P183" s="17"/>
      <c r="Q183" s="8"/>
      <c r="R183" s="5" t="s">
        <v>4</v>
      </c>
      <c r="S183" s="4">
        <f>WEEKNUM(L183)</f>
        <v>6</v>
      </c>
    </row>
    <row r="184" spans="1:19" x14ac:dyDescent="0.35">
      <c r="A184" s="22"/>
      <c r="B184" s="22" t="s">
        <v>80</v>
      </c>
      <c r="C184" s="21" t="s">
        <v>79</v>
      </c>
      <c r="D184" s="14" t="str">
        <f>VLOOKUP(RyS[[#This Row],[NOM]],'[1]Sheet 1'!$A$4:$AR$187,3,0)</f>
        <v>AUXILIAR DE SERVICIOS GENERALES</v>
      </c>
      <c r="E184" s="20"/>
      <c r="F184" s="9"/>
      <c r="G184" s="19"/>
      <c r="H184" s="18"/>
      <c r="I184" s="8"/>
      <c r="J184" s="9"/>
      <c r="K184" s="9"/>
      <c r="L184" s="9">
        <v>45302</v>
      </c>
      <c r="M184" s="8" t="s">
        <v>1</v>
      </c>
      <c r="N184" s="8"/>
      <c r="O184" s="8"/>
      <c r="P184" s="17"/>
      <c r="Q184" s="8"/>
      <c r="R184" s="5" t="s">
        <v>4</v>
      </c>
      <c r="S184" s="4">
        <f>WEEKNUM(L184)</f>
        <v>2</v>
      </c>
    </row>
    <row r="185" spans="1:19" x14ac:dyDescent="0.35">
      <c r="A185" s="22"/>
      <c r="B185" s="22" t="s">
        <v>78</v>
      </c>
      <c r="C185" s="21" t="s">
        <v>77</v>
      </c>
      <c r="D185" s="14" t="str">
        <f>VLOOKUP(RyS[[#This Row],[NOM]],'[1]Sheet 1'!$A$4:$AR$187,3,0)</f>
        <v>AUXILIAR DE PATIO</v>
      </c>
      <c r="E185" s="20"/>
      <c r="F185" s="9"/>
      <c r="G185" s="19"/>
      <c r="H185" s="18"/>
      <c r="I185" s="8"/>
      <c r="J185" s="9"/>
      <c r="K185" s="9"/>
      <c r="L185" s="9">
        <v>45308</v>
      </c>
      <c r="M185" s="8" t="s">
        <v>1</v>
      </c>
      <c r="N185" s="8"/>
      <c r="O185" s="8"/>
      <c r="P185" s="17"/>
      <c r="Q185" s="8"/>
      <c r="R185" s="5" t="s">
        <v>0</v>
      </c>
      <c r="S185" s="4">
        <f>WEEKNUM(L185)</f>
        <v>3</v>
      </c>
    </row>
    <row r="186" spans="1:19" x14ac:dyDescent="0.35">
      <c r="A186" s="22"/>
      <c r="B186" s="22" t="s">
        <v>76</v>
      </c>
      <c r="C186" s="21" t="s">
        <v>75</v>
      </c>
      <c r="D186" s="14" t="str">
        <f>VLOOKUP(RyS[[#This Row],[NOM]],'[1]Sheet 1'!$A$4:$AR$187,3,0)</f>
        <v>AYUDANTE GENERAL</v>
      </c>
      <c r="E186" s="20"/>
      <c r="F186" s="9"/>
      <c r="G186" s="19"/>
      <c r="H186" s="18"/>
      <c r="I186" s="8"/>
      <c r="J186" s="9"/>
      <c r="K186" s="9"/>
      <c r="L186" s="9">
        <v>45322</v>
      </c>
      <c r="M186" s="8" t="s">
        <v>1</v>
      </c>
      <c r="N186" s="8"/>
      <c r="O186" s="8"/>
      <c r="P186" s="17"/>
      <c r="Q186" s="8"/>
      <c r="R186" s="5" t="s">
        <v>10</v>
      </c>
      <c r="S186" s="4">
        <f>WEEKNUM(L186)</f>
        <v>5</v>
      </c>
    </row>
    <row r="187" spans="1:19" x14ac:dyDescent="0.35">
      <c r="A187" s="22"/>
      <c r="B187" s="22" t="s">
        <v>74</v>
      </c>
      <c r="C187" s="21" t="s">
        <v>73</v>
      </c>
      <c r="D187" s="14" t="str">
        <f>VLOOKUP(RyS[[#This Row],[NOM]],'[1]Sheet 1'!$A$4:$AR$187,3,0)</f>
        <v>AUXILIAR DE SERVICIOS GENERALES</v>
      </c>
      <c r="E187" s="20"/>
      <c r="F187" s="9"/>
      <c r="G187" s="19"/>
      <c r="H187" s="18"/>
      <c r="I187" s="8"/>
      <c r="J187" s="9"/>
      <c r="K187" s="9"/>
      <c r="L187" s="9">
        <v>45314</v>
      </c>
      <c r="M187" s="8" t="s">
        <v>1</v>
      </c>
      <c r="N187" s="8"/>
      <c r="O187" s="8"/>
      <c r="P187" s="17"/>
      <c r="Q187" s="8"/>
      <c r="R187" s="5" t="s">
        <v>13</v>
      </c>
      <c r="S187" s="4">
        <f>WEEKNUM(L187)</f>
        <v>4</v>
      </c>
    </row>
    <row r="188" spans="1:19" x14ac:dyDescent="0.35">
      <c r="A188" s="22"/>
      <c r="B188" s="22" t="s">
        <v>72</v>
      </c>
      <c r="C188" s="21" t="s">
        <v>71</v>
      </c>
      <c r="D188" s="14" t="str">
        <f>VLOOKUP(RyS[[#This Row],[NOM]],'[1]Sheet 1'!$A$4:$AR$187,3,0)</f>
        <v>AYUDANTE GENERAL</v>
      </c>
      <c r="E188" s="20"/>
      <c r="F188" s="9"/>
      <c r="G188" s="19"/>
      <c r="H188" s="18"/>
      <c r="I188" s="8"/>
      <c r="J188" s="9"/>
      <c r="K188" s="9"/>
      <c r="L188" s="9">
        <v>45322</v>
      </c>
      <c r="M188" s="8" t="s">
        <v>1</v>
      </c>
      <c r="N188" s="8"/>
      <c r="O188" s="8"/>
      <c r="P188" s="17"/>
      <c r="Q188" s="8"/>
      <c r="R188" s="5" t="s">
        <v>27</v>
      </c>
      <c r="S188" s="4">
        <f>WEEKNUM(L188)</f>
        <v>5</v>
      </c>
    </row>
    <row r="189" spans="1:19" x14ac:dyDescent="0.35">
      <c r="A189" s="22"/>
      <c r="B189" s="22" t="s">
        <v>70</v>
      </c>
      <c r="C189" s="21" t="s">
        <v>69</v>
      </c>
      <c r="D189" s="14" t="str">
        <f>VLOOKUP(RyS[[#This Row],[NOM]],'[1]Sheet 1'!$A$4:$AR$187,3,0)</f>
        <v>AYUDANTE GENERAL</v>
      </c>
      <c r="E189" s="20"/>
      <c r="F189" s="9"/>
      <c r="G189" s="19"/>
      <c r="H189" s="18"/>
      <c r="I189" s="8"/>
      <c r="J189" s="9"/>
      <c r="K189" s="9"/>
      <c r="L189" s="9">
        <v>45308</v>
      </c>
      <c r="M189" s="8" t="s">
        <v>1</v>
      </c>
      <c r="N189" s="8"/>
      <c r="O189" s="8"/>
      <c r="P189" s="17"/>
      <c r="Q189" s="8"/>
      <c r="R189" s="5" t="s">
        <v>10</v>
      </c>
      <c r="S189" s="4">
        <f>WEEKNUM(L189)</f>
        <v>3</v>
      </c>
    </row>
    <row r="190" spans="1:19" x14ac:dyDescent="0.35">
      <c r="A190" s="22"/>
      <c r="B190" s="22" t="s">
        <v>68</v>
      </c>
      <c r="C190" s="21" t="s">
        <v>67</v>
      </c>
      <c r="D190" s="14" t="str">
        <f>VLOOKUP(RyS[[#This Row],[NOM]],'[1]Sheet 1'!$A$4:$AR$187,3,0)</f>
        <v>AYUDANTE GENERAL</v>
      </c>
      <c r="E190" s="20"/>
      <c r="F190" s="9"/>
      <c r="G190" s="19"/>
      <c r="H190" s="18"/>
      <c r="I190" s="8"/>
      <c r="J190" s="9"/>
      <c r="K190" s="9"/>
      <c r="L190" s="9">
        <v>45314</v>
      </c>
      <c r="M190" s="8" t="s">
        <v>1</v>
      </c>
      <c r="N190" s="8"/>
      <c r="O190" s="8"/>
      <c r="P190" s="17"/>
      <c r="Q190" s="8"/>
      <c r="R190" s="5" t="s">
        <v>27</v>
      </c>
      <c r="S190" s="4">
        <f>WEEKNUM(L190)</f>
        <v>4</v>
      </c>
    </row>
    <row r="191" spans="1:19" x14ac:dyDescent="0.35">
      <c r="A191" s="22"/>
      <c r="B191" s="22" t="s">
        <v>66</v>
      </c>
      <c r="C191" s="21" t="s">
        <v>65</v>
      </c>
      <c r="D191" s="14" t="str">
        <f>VLOOKUP(RyS[[#This Row],[NOM]],'[1]Sheet 1'!$A$4:$AR$187,3,0)</f>
        <v>AUXILIAR DE VERIFICACION</v>
      </c>
      <c r="E191" s="20"/>
      <c r="F191" s="9"/>
      <c r="G191" s="19"/>
      <c r="H191" s="18"/>
      <c r="I191" s="8"/>
      <c r="J191" s="9"/>
      <c r="K191" s="9"/>
      <c r="L191" s="9">
        <v>45316</v>
      </c>
      <c r="M191" s="8" t="s">
        <v>1</v>
      </c>
      <c r="N191" s="8"/>
      <c r="O191" s="8"/>
      <c r="P191" s="17"/>
      <c r="Q191" s="8"/>
      <c r="R191" s="5" t="s">
        <v>13</v>
      </c>
      <c r="S191" s="4">
        <f>WEEKNUM(L191)</f>
        <v>4</v>
      </c>
    </row>
    <row r="192" spans="1:19" x14ac:dyDescent="0.35">
      <c r="A192" s="22"/>
      <c r="B192" s="22" t="s">
        <v>64</v>
      </c>
      <c r="C192" s="21" t="s">
        <v>63</v>
      </c>
      <c r="D192" s="14" t="str">
        <f>VLOOKUP(RyS[[#This Row],[NOM]],'[1]Sheet 1'!$A$4:$AR$187,3,0)</f>
        <v>AUXILIAR DE SERVICIOS GENERALES</v>
      </c>
      <c r="E192" s="20"/>
      <c r="F192" s="9"/>
      <c r="G192" s="19"/>
      <c r="H192" s="18"/>
      <c r="I192" s="8"/>
      <c r="J192" s="9"/>
      <c r="K192" s="9"/>
      <c r="L192" s="9">
        <v>45314</v>
      </c>
      <c r="M192" s="8" t="s">
        <v>1</v>
      </c>
      <c r="N192" s="8"/>
      <c r="O192" s="8"/>
      <c r="P192" s="17"/>
      <c r="Q192" s="8"/>
      <c r="R192" s="5" t="s">
        <v>13</v>
      </c>
      <c r="S192" s="4">
        <f>WEEKNUM(L192)</f>
        <v>4</v>
      </c>
    </row>
    <row r="193" spans="1:19" x14ac:dyDescent="0.35">
      <c r="A193" s="22"/>
      <c r="B193" s="22" t="s">
        <v>62</v>
      </c>
      <c r="C193" s="21" t="s">
        <v>61</v>
      </c>
      <c r="D193" s="14" t="str">
        <f>VLOOKUP(RyS[[#This Row],[NOM]],'[1]Sheet 1'!$A$4:$AR$187,3,0)</f>
        <v>COORDINADOR DE OPERACIONES</v>
      </c>
      <c r="E193" s="20"/>
      <c r="F193" s="9"/>
      <c r="G193" s="19"/>
      <c r="H193" s="18"/>
      <c r="I193" s="8"/>
      <c r="J193" s="9"/>
      <c r="K193" s="9"/>
      <c r="L193" s="9">
        <v>45299</v>
      </c>
      <c r="M193" s="8" t="s">
        <v>1</v>
      </c>
      <c r="N193" s="8"/>
      <c r="O193" s="8"/>
      <c r="P193" s="17"/>
      <c r="Q193" s="8"/>
      <c r="R193" s="5" t="s">
        <v>27</v>
      </c>
      <c r="S193" s="4">
        <f>WEEKNUM(L193)</f>
        <v>2</v>
      </c>
    </row>
    <row r="194" spans="1:19" x14ac:dyDescent="0.35">
      <c r="A194" s="22"/>
      <c r="B194" s="22" t="s">
        <v>60</v>
      </c>
      <c r="C194" s="21" t="s">
        <v>59</v>
      </c>
      <c r="D194" s="14" t="str">
        <f>VLOOKUP(RyS[[#This Row],[NOM]],'[1]Sheet 1'!$A$4:$AR$187,3,0)</f>
        <v>AUXILIAR DE SERVICIOS GENERALES</v>
      </c>
      <c r="E194" s="20"/>
      <c r="F194" s="9"/>
      <c r="G194" s="19"/>
      <c r="H194" s="18"/>
      <c r="I194" s="8"/>
      <c r="J194" s="9"/>
      <c r="K194" s="9"/>
      <c r="L194" s="9">
        <v>45308</v>
      </c>
      <c r="M194" s="8" t="s">
        <v>1</v>
      </c>
      <c r="N194" s="8"/>
      <c r="O194" s="8"/>
      <c r="P194" s="17"/>
      <c r="Q194" s="8"/>
      <c r="R194" s="5" t="s">
        <v>13</v>
      </c>
      <c r="S194" s="4">
        <f>WEEKNUM(L194)</f>
        <v>3</v>
      </c>
    </row>
    <row r="195" spans="1:19" x14ac:dyDescent="0.35">
      <c r="A195" s="22"/>
      <c r="B195" s="22" t="s">
        <v>58</v>
      </c>
      <c r="C195" s="21" t="s">
        <v>57</v>
      </c>
      <c r="D195" s="14" t="str">
        <f>VLOOKUP(RyS[[#This Row],[NOM]],'[1]Sheet 1'!$A$4:$AR$187,3,0)</f>
        <v>AYUDANTE GENERAL</v>
      </c>
      <c r="E195" s="20"/>
      <c r="F195" s="9"/>
      <c r="G195" s="19"/>
      <c r="H195" s="18"/>
      <c r="I195" s="8"/>
      <c r="J195" s="9"/>
      <c r="K195" s="9"/>
      <c r="L195" s="9">
        <v>45309</v>
      </c>
      <c r="M195" s="8" t="s">
        <v>1</v>
      </c>
      <c r="N195" s="8"/>
      <c r="O195" s="8"/>
      <c r="P195" s="17"/>
      <c r="Q195" s="8"/>
      <c r="R195" s="5" t="s">
        <v>27</v>
      </c>
      <c r="S195" s="4">
        <f>WEEKNUM(L195)</f>
        <v>3</v>
      </c>
    </row>
    <row r="196" spans="1:19" x14ac:dyDescent="0.35">
      <c r="A196" s="22"/>
      <c r="B196" s="22" t="s">
        <v>56</v>
      </c>
      <c r="C196" s="21" t="s">
        <v>55</v>
      </c>
      <c r="D196" s="14" t="str">
        <f>VLOOKUP(RyS[[#This Row],[NOM]],'[1]Sheet 1'!$A$4:$AR$187,3,0)</f>
        <v>AUXILIAR DE SERVICIOS GENERALES</v>
      </c>
      <c r="E196" s="20"/>
      <c r="F196" s="9"/>
      <c r="G196" s="19"/>
      <c r="H196" s="18"/>
      <c r="I196" s="8"/>
      <c r="J196" s="9"/>
      <c r="K196" s="9"/>
      <c r="L196" s="9">
        <v>45300</v>
      </c>
      <c r="M196" s="8" t="s">
        <v>1</v>
      </c>
      <c r="N196" s="8"/>
      <c r="O196" s="8"/>
      <c r="P196" s="17"/>
      <c r="Q196" s="8"/>
      <c r="R196" s="5" t="s">
        <v>0</v>
      </c>
      <c r="S196" s="4">
        <f>WEEKNUM(L196)</f>
        <v>2</v>
      </c>
    </row>
    <row r="197" spans="1:19" x14ac:dyDescent="0.35">
      <c r="A197" s="22"/>
      <c r="B197" s="22" t="s">
        <v>54</v>
      </c>
      <c r="C197" s="21" t="s">
        <v>53</v>
      </c>
      <c r="D197" s="14" t="str">
        <f>VLOOKUP(RyS[[#This Row],[NOM]],'[1]Sheet 1'!$A$4:$AR$187,3,0)</f>
        <v>ANALISTA DE OPERACIONES</v>
      </c>
      <c r="E197" s="20"/>
      <c r="F197" s="9"/>
      <c r="G197" s="19"/>
      <c r="H197" s="18"/>
      <c r="I197" s="8"/>
      <c r="J197" s="9"/>
      <c r="K197" s="9"/>
      <c r="L197" s="9">
        <v>45296</v>
      </c>
      <c r="M197" s="8" t="s">
        <v>1</v>
      </c>
      <c r="N197" s="8"/>
      <c r="O197" s="8"/>
      <c r="P197" s="17"/>
      <c r="Q197" s="8"/>
      <c r="R197" s="5" t="s">
        <v>4</v>
      </c>
      <c r="S197" s="4">
        <f>WEEKNUM(L197)</f>
        <v>1</v>
      </c>
    </row>
    <row r="198" spans="1:19" x14ac:dyDescent="0.35">
      <c r="A198" s="22"/>
      <c r="B198" s="22" t="s">
        <v>52</v>
      </c>
      <c r="C198" s="21" t="s">
        <v>51</v>
      </c>
      <c r="D198" s="14" t="str">
        <f>VLOOKUP(RyS[[#This Row],[NOM]],'[1]Sheet 1'!$A$4:$AR$187,3,0)</f>
        <v>AUXILIAR DE OPERACIONES</v>
      </c>
      <c r="E198" s="20"/>
      <c r="F198" s="9"/>
      <c r="G198" s="19"/>
      <c r="H198" s="18"/>
      <c r="I198" s="8"/>
      <c r="J198" s="9"/>
      <c r="K198" s="9"/>
      <c r="L198" s="9">
        <v>45300</v>
      </c>
      <c r="M198" s="8" t="s">
        <v>1</v>
      </c>
      <c r="N198" s="8"/>
      <c r="O198" s="8"/>
      <c r="P198" s="17"/>
      <c r="Q198" s="8"/>
      <c r="R198" s="5" t="s">
        <v>4</v>
      </c>
      <c r="S198" s="4">
        <f>WEEKNUM(L198)</f>
        <v>2</v>
      </c>
    </row>
    <row r="199" spans="1:19" x14ac:dyDescent="0.35">
      <c r="A199" s="22"/>
      <c r="B199" s="22" t="s">
        <v>50</v>
      </c>
      <c r="C199" s="21" t="s">
        <v>49</v>
      </c>
      <c r="D199" s="14" t="str">
        <f>VLOOKUP(RyS[[#This Row],[NOM]],'[1]Sheet 1'!$A$4:$AR$187,3,0)</f>
        <v>AYUDANTE GENERAL</v>
      </c>
      <c r="E199" s="20"/>
      <c r="F199" s="9"/>
      <c r="G199" s="19"/>
      <c r="H199" s="18"/>
      <c r="I199" s="8"/>
      <c r="J199" s="9"/>
      <c r="K199" s="9"/>
      <c r="L199" s="9">
        <v>45317</v>
      </c>
      <c r="M199" s="8" t="s">
        <v>1</v>
      </c>
      <c r="N199" s="8"/>
      <c r="O199" s="8"/>
      <c r="P199" s="17"/>
      <c r="Q199" s="8"/>
      <c r="R199" s="5" t="s">
        <v>34</v>
      </c>
      <c r="S199" s="4">
        <f>WEEKNUM(L199)</f>
        <v>4</v>
      </c>
    </row>
    <row r="200" spans="1:19" x14ac:dyDescent="0.35">
      <c r="A200" s="22"/>
      <c r="B200" s="22" t="s">
        <v>48</v>
      </c>
      <c r="C200" s="21" t="s">
        <v>47</v>
      </c>
      <c r="D200" s="14" t="str">
        <f>VLOOKUP(RyS[[#This Row],[NOM]],'[1]Sheet 1'!$A$4:$AR$187,3,0)</f>
        <v>AUXILIAR DE SERVICIOS GENERALES</v>
      </c>
      <c r="E200" s="20"/>
      <c r="F200" s="9"/>
      <c r="G200" s="19"/>
      <c r="H200" s="18"/>
      <c r="I200" s="8"/>
      <c r="J200" s="9"/>
      <c r="K200" s="9"/>
      <c r="L200" s="9">
        <v>45309</v>
      </c>
      <c r="M200" s="8" t="s">
        <v>1</v>
      </c>
      <c r="N200" s="8"/>
      <c r="O200" s="8"/>
      <c r="P200" s="17"/>
      <c r="Q200" s="8"/>
      <c r="R200" s="5" t="s">
        <v>4</v>
      </c>
      <c r="S200" s="4">
        <f>WEEKNUM(L200)</f>
        <v>3</v>
      </c>
    </row>
    <row r="201" spans="1:19" x14ac:dyDescent="0.35">
      <c r="A201" s="22"/>
      <c r="B201" s="22" t="s">
        <v>46</v>
      </c>
      <c r="C201" s="21" t="s">
        <v>45</v>
      </c>
      <c r="D201" s="14" t="str">
        <f>VLOOKUP(RyS[[#This Row],[NOM]],'[1]Sheet 1'!$A$4:$AR$187,3,0)</f>
        <v>AUXILIAR DE SERVICIOS GENERALES</v>
      </c>
      <c r="E201" s="20"/>
      <c r="F201" s="9"/>
      <c r="G201" s="19"/>
      <c r="H201" s="18"/>
      <c r="I201" s="8"/>
      <c r="J201" s="9"/>
      <c r="K201" s="9"/>
      <c r="L201" s="9">
        <v>45322</v>
      </c>
      <c r="M201" s="8" t="s">
        <v>1</v>
      </c>
      <c r="N201" s="8"/>
      <c r="O201" s="8"/>
      <c r="P201" s="17"/>
      <c r="Q201" s="8"/>
      <c r="R201" s="5" t="s">
        <v>0</v>
      </c>
      <c r="S201" s="4">
        <f>WEEKNUM(L201)</f>
        <v>5</v>
      </c>
    </row>
    <row r="202" spans="1:19" x14ac:dyDescent="0.35">
      <c r="A202" s="22"/>
      <c r="B202" s="22" t="s">
        <v>44</v>
      </c>
      <c r="C202" s="21" t="s">
        <v>43</v>
      </c>
      <c r="D202" s="14" t="str">
        <f>VLOOKUP(RyS[[#This Row],[NOM]],'[1]Sheet 1'!$A$4:$AR$187,3,0)</f>
        <v>AUXILIAR DE SERVICIOS GENERALES</v>
      </c>
      <c r="E202" s="20"/>
      <c r="F202" s="9"/>
      <c r="G202" s="19"/>
      <c r="H202" s="18"/>
      <c r="I202" s="8"/>
      <c r="J202" s="9"/>
      <c r="K202" s="9"/>
      <c r="L202" s="9">
        <v>45314</v>
      </c>
      <c r="M202" s="8" t="s">
        <v>1</v>
      </c>
      <c r="N202" s="8"/>
      <c r="O202" s="8"/>
      <c r="P202" s="17"/>
      <c r="Q202" s="8"/>
      <c r="R202" s="5" t="s">
        <v>13</v>
      </c>
      <c r="S202" s="4">
        <f>WEEKNUM(L202)</f>
        <v>4</v>
      </c>
    </row>
    <row r="203" spans="1:19" x14ac:dyDescent="0.35">
      <c r="A203" s="22"/>
      <c r="B203" s="22" t="s">
        <v>42</v>
      </c>
      <c r="C203" s="21" t="s">
        <v>41</v>
      </c>
      <c r="D203" s="14" t="str">
        <f>VLOOKUP(RyS[[#This Row],[NOM]],'[1]Sheet 1'!$A$4:$AR$187,3,0)</f>
        <v>AUXILIAR DE INTENDENCIA</v>
      </c>
      <c r="E203" s="20"/>
      <c r="F203" s="9"/>
      <c r="G203" s="19"/>
      <c r="H203" s="18"/>
      <c r="I203" s="8"/>
      <c r="J203" s="9"/>
      <c r="K203" s="9"/>
      <c r="L203" s="9">
        <v>45303</v>
      </c>
      <c r="M203" s="8" t="s">
        <v>1</v>
      </c>
      <c r="N203" s="8"/>
      <c r="O203" s="8"/>
      <c r="P203" s="17"/>
      <c r="Q203" s="8"/>
      <c r="R203" s="5" t="s">
        <v>22</v>
      </c>
      <c r="S203" s="4">
        <f>WEEKNUM(L203)</f>
        <v>2</v>
      </c>
    </row>
    <row r="204" spans="1:19" x14ac:dyDescent="0.35">
      <c r="A204" s="22"/>
      <c r="B204" s="22" t="s">
        <v>40</v>
      </c>
      <c r="C204" s="21" t="s">
        <v>39</v>
      </c>
      <c r="D204" s="14" t="str">
        <f>VLOOKUP(RyS[[#This Row],[NOM]],'[1]Sheet 1'!$A$4:$AR$187,3,0)</f>
        <v>AUXILIAR DE SERVICIOS GENERALES</v>
      </c>
      <c r="E204" s="20"/>
      <c r="F204" s="9"/>
      <c r="G204" s="19"/>
      <c r="H204" s="18"/>
      <c r="I204" s="8"/>
      <c r="J204" s="9"/>
      <c r="K204" s="9"/>
      <c r="L204" s="9">
        <v>45322</v>
      </c>
      <c r="M204" s="8" t="s">
        <v>1</v>
      </c>
      <c r="N204" s="8"/>
      <c r="O204" s="8"/>
      <c r="P204" s="17"/>
      <c r="Q204" s="8"/>
      <c r="R204" s="5" t="s">
        <v>0</v>
      </c>
      <c r="S204" s="4">
        <f>WEEKNUM(L204)</f>
        <v>5</v>
      </c>
    </row>
    <row r="205" spans="1:19" x14ac:dyDescent="0.35">
      <c r="A205" s="22"/>
      <c r="B205" s="22" t="s">
        <v>38</v>
      </c>
      <c r="C205" s="21" t="s">
        <v>37</v>
      </c>
      <c r="D205" s="14" t="str">
        <f>VLOOKUP(RyS[[#This Row],[NOM]],'[1]Sheet 1'!$A$4:$AR$187,3,0)</f>
        <v>AUXILIAR DE SERVICIOS GENERALES</v>
      </c>
      <c r="E205" s="20"/>
      <c r="F205" s="9"/>
      <c r="G205" s="19"/>
      <c r="H205" s="18"/>
      <c r="I205" s="8"/>
      <c r="J205" s="9"/>
      <c r="K205" s="9"/>
      <c r="L205" s="9">
        <v>45316</v>
      </c>
      <c r="M205" s="8" t="s">
        <v>1</v>
      </c>
      <c r="N205" s="8"/>
      <c r="O205" s="8"/>
      <c r="P205" s="17"/>
      <c r="Q205" s="8"/>
      <c r="R205" s="5" t="s">
        <v>7</v>
      </c>
      <c r="S205" s="4">
        <f>WEEKNUM(L205)</f>
        <v>4</v>
      </c>
    </row>
    <row r="206" spans="1:19" x14ac:dyDescent="0.35">
      <c r="A206" s="22"/>
      <c r="B206" s="22" t="s">
        <v>36</v>
      </c>
      <c r="C206" s="21" t="s">
        <v>35</v>
      </c>
      <c r="D206" s="14" t="str">
        <f>VLOOKUP(RyS[[#This Row],[NOM]],'[1]Sheet 1'!$A$4:$AR$187,3,0)</f>
        <v>AYUDANTE GENERAL</v>
      </c>
      <c r="E206" s="20"/>
      <c r="F206" s="9"/>
      <c r="G206" s="19"/>
      <c r="H206" s="18"/>
      <c r="I206" s="8"/>
      <c r="J206" s="9"/>
      <c r="K206" s="9"/>
      <c r="L206" s="9">
        <v>45296</v>
      </c>
      <c r="M206" s="8" t="s">
        <v>1</v>
      </c>
      <c r="N206" s="8"/>
      <c r="O206" s="8"/>
      <c r="P206" s="17"/>
      <c r="Q206" s="8"/>
      <c r="R206" s="5" t="s">
        <v>34</v>
      </c>
      <c r="S206" s="4">
        <f>WEEKNUM(L206)</f>
        <v>1</v>
      </c>
    </row>
    <row r="207" spans="1:19" x14ac:dyDescent="0.35">
      <c r="A207" s="22"/>
      <c r="B207" s="22" t="s">
        <v>33</v>
      </c>
      <c r="C207" s="21" t="s">
        <v>32</v>
      </c>
      <c r="D207" s="14" t="str">
        <f>VLOOKUP(RyS[[#This Row],[NOM]],'[1]Sheet 1'!$A$4:$AR$187,3,0)</f>
        <v>AUXILIAR DE SERVICIOS GENERALES</v>
      </c>
      <c r="E207" s="20"/>
      <c r="F207" s="9"/>
      <c r="G207" s="19"/>
      <c r="H207" s="18"/>
      <c r="I207" s="8"/>
      <c r="J207" s="9"/>
      <c r="K207" s="9"/>
      <c r="L207" s="9">
        <v>45301</v>
      </c>
      <c r="M207" s="8" t="s">
        <v>1</v>
      </c>
      <c r="N207" s="8"/>
      <c r="O207" s="8"/>
      <c r="P207" s="17"/>
      <c r="Q207" s="8"/>
      <c r="R207" s="5" t="s">
        <v>7</v>
      </c>
      <c r="S207" s="4">
        <f>WEEKNUM(L207)</f>
        <v>2</v>
      </c>
    </row>
    <row r="208" spans="1:19" x14ac:dyDescent="0.35">
      <c r="A208" s="22"/>
      <c r="B208" s="22" t="s">
        <v>31</v>
      </c>
      <c r="C208" s="21" t="s">
        <v>30</v>
      </c>
      <c r="D208" s="14" t="str">
        <f>VLOOKUP(RyS[[#This Row],[NOM]],'[1]Sheet 1'!$A$4:$AR$187,3,0)</f>
        <v>AUXILIAR DE SERVICIOS GENERALES</v>
      </c>
      <c r="E208" s="20"/>
      <c r="F208" s="9"/>
      <c r="G208" s="19"/>
      <c r="H208" s="18"/>
      <c r="I208" s="8"/>
      <c r="J208" s="9"/>
      <c r="K208" s="9"/>
      <c r="L208" s="9">
        <v>45313</v>
      </c>
      <c r="M208" s="8" t="s">
        <v>1</v>
      </c>
      <c r="N208" s="8"/>
      <c r="O208" s="8"/>
      <c r="P208" s="17"/>
      <c r="Q208" s="8"/>
      <c r="R208" s="5" t="s">
        <v>4</v>
      </c>
      <c r="S208" s="4">
        <f>WEEKNUM(L208)</f>
        <v>4</v>
      </c>
    </row>
    <row r="209" spans="1:19" x14ac:dyDescent="0.35">
      <c r="A209" s="22"/>
      <c r="B209" s="22" t="s">
        <v>29</v>
      </c>
      <c r="C209" s="21" t="s">
        <v>28</v>
      </c>
      <c r="D209" s="14" t="str">
        <f>VLOOKUP(RyS[[#This Row],[NOM]],'[1]Sheet 1'!$A$4:$AR$187,3,0)</f>
        <v>COORDINADOR DE INVENTARIOS</v>
      </c>
      <c r="E209" s="20"/>
      <c r="F209" s="9"/>
      <c r="G209" s="19"/>
      <c r="H209" s="18"/>
      <c r="I209" s="8"/>
      <c r="J209" s="9"/>
      <c r="K209" s="9"/>
      <c r="L209" s="9">
        <v>45300</v>
      </c>
      <c r="M209" s="8" t="s">
        <v>1</v>
      </c>
      <c r="N209" s="8"/>
      <c r="O209" s="8"/>
      <c r="P209" s="17"/>
      <c r="Q209" s="8"/>
      <c r="R209" s="5" t="s">
        <v>27</v>
      </c>
      <c r="S209" s="4">
        <f>WEEKNUM(L209)</f>
        <v>2</v>
      </c>
    </row>
    <row r="210" spans="1:19" x14ac:dyDescent="0.35">
      <c r="A210" s="22"/>
      <c r="B210" s="22" t="s">
        <v>26</v>
      </c>
      <c r="C210" s="21" t="s">
        <v>25</v>
      </c>
      <c r="D210" s="14" t="str">
        <f>VLOOKUP(RyS[[#This Row],[NOM]],'[1]Sheet 1'!$A$4:$AR$187,3,0)</f>
        <v>AUXILIAR DE SERVICIOS GENERALES</v>
      </c>
      <c r="E210" s="20"/>
      <c r="F210" s="9"/>
      <c r="G210" s="19"/>
      <c r="H210" s="18"/>
      <c r="I210" s="8"/>
      <c r="J210" s="9"/>
      <c r="K210" s="9"/>
      <c r="L210" s="9">
        <v>45321</v>
      </c>
      <c r="M210" s="8" t="s">
        <v>1</v>
      </c>
      <c r="N210" s="8"/>
      <c r="O210" s="8"/>
      <c r="P210" s="17"/>
      <c r="Q210" s="8"/>
      <c r="R210" s="5" t="s">
        <v>13</v>
      </c>
      <c r="S210" s="4">
        <f>WEEKNUM(L210)</f>
        <v>5</v>
      </c>
    </row>
    <row r="211" spans="1:19" x14ac:dyDescent="0.35">
      <c r="A211" s="22"/>
      <c r="B211" s="22" t="s">
        <v>24</v>
      </c>
      <c r="C211" s="21" t="s">
        <v>23</v>
      </c>
      <c r="D211" s="14" t="str">
        <f>VLOOKUP(RyS[[#This Row],[NOM]],'[1]Sheet 1'!$A$4:$AR$187,3,0)</f>
        <v>AYUDANTE GENERAL</v>
      </c>
      <c r="E211" s="20"/>
      <c r="F211" s="9"/>
      <c r="G211" s="19"/>
      <c r="H211" s="18"/>
      <c r="I211" s="8"/>
      <c r="J211" s="9"/>
      <c r="K211" s="9"/>
      <c r="L211" s="9">
        <v>45317</v>
      </c>
      <c r="M211" s="8" t="s">
        <v>1</v>
      </c>
      <c r="N211" s="8"/>
      <c r="O211" s="8"/>
      <c r="P211" s="17"/>
      <c r="Q211" s="8"/>
      <c r="R211" s="5" t="s">
        <v>22</v>
      </c>
      <c r="S211" s="4">
        <f>WEEKNUM(L211)</f>
        <v>4</v>
      </c>
    </row>
    <row r="212" spans="1:19" x14ac:dyDescent="0.35">
      <c r="A212" s="22"/>
      <c r="B212" s="22" t="s">
        <v>21</v>
      </c>
      <c r="C212" s="21" t="s">
        <v>20</v>
      </c>
      <c r="D212" s="14" t="str">
        <f>VLOOKUP(RyS[[#This Row],[NOM]],'[1]Sheet 1'!$A$4:$AR$187,3,0)</f>
        <v>AUXILIAR DE SERVICIOS GENERALES</v>
      </c>
      <c r="E212" s="20"/>
      <c r="F212" s="9"/>
      <c r="G212" s="19"/>
      <c r="H212" s="18"/>
      <c r="I212" s="8"/>
      <c r="J212" s="9"/>
      <c r="K212" s="9"/>
      <c r="L212" s="9">
        <v>45300</v>
      </c>
      <c r="M212" s="8" t="s">
        <v>1</v>
      </c>
      <c r="N212" s="8"/>
      <c r="O212" s="8"/>
      <c r="P212" s="17"/>
      <c r="Q212" s="8"/>
      <c r="R212" s="5" t="s">
        <v>0</v>
      </c>
      <c r="S212" s="4">
        <f>WEEKNUM(L212)</f>
        <v>2</v>
      </c>
    </row>
    <row r="213" spans="1:19" x14ac:dyDescent="0.35">
      <c r="A213" s="22"/>
      <c r="B213" s="22" t="s">
        <v>19</v>
      </c>
      <c r="C213" s="21" t="s">
        <v>18</v>
      </c>
      <c r="D213" s="14" t="str">
        <f>VLOOKUP(RyS[[#This Row],[NOM]],'[1]Sheet 1'!$A$4:$AR$187,3,0)</f>
        <v>MONTACARGUISTA</v>
      </c>
      <c r="E213" s="20"/>
      <c r="F213" s="9"/>
      <c r="G213" s="19"/>
      <c r="H213" s="18"/>
      <c r="I213" s="8"/>
      <c r="J213" s="9"/>
      <c r="K213" s="9"/>
      <c r="L213" s="9">
        <v>45302</v>
      </c>
      <c r="M213" s="8" t="s">
        <v>1</v>
      </c>
      <c r="N213" s="8"/>
      <c r="O213" s="8"/>
      <c r="P213" s="17"/>
      <c r="Q213" s="8"/>
      <c r="R213" s="5" t="s">
        <v>4</v>
      </c>
      <c r="S213" s="4">
        <f>WEEKNUM(L213)</f>
        <v>2</v>
      </c>
    </row>
    <row r="214" spans="1:19" x14ac:dyDescent="0.35">
      <c r="A214" s="22"/>
      <c r="B214" s="22" t="s">
        <v>17</v>
      </c>
      <c r="C214" s="21" t="s">
        <v>16</v>
      </c>
      <c r="D214" s="14" t="str">
        <f>VLOOKUP(RyS[[#This Row],[NOM]],'[1]Sheet 1'!$A$4:$AR$187,3,0)</f>
        <v>AUXILIAR DE PATIO</v>
      </c>
      <c r="E214" s="20"/>
      <c r="F214" s="9"/>
      <c r="G214" s="19"/>
      <c r="H214" s="18"/>
      <c r="I214" s="8"/>
      <c r="J214" s="9"/>
      <c r="K214" s="9"/>
      <c r="L214" s="9">
        <v>45308</v>
      </c>
      <c r="M214" s="8" t="s">
        <v>1</v>
      </c>
      <c r="N214" s="8"/>
      <c r="O214" s="8"/>
      <c r="P214" s="17"/>
      <c r="Q214" s="8"/>
      <c r="R214" s="5" t="s">
        <v>0</v>
      </c>
      <c r="S214" s="4">
        <f>WEEKNUM(L214)</f>
        <v>3</v>
      </c>
    </row>
    <row r="215" spans="1:19" x14ac:dyDescent="0.35">
      <c r="A215" s="22"/>
      <c r="B215" s="22" t="s">
        <v>15</v>
      </c>
      <c r="C215" s="21" t="s">
        <v>14</v>
      </c>
      <c r="D215" s="14" t="str">
        <f>VLOOKUP(RyS[[#This Row],[NOM]],'[1]Sheet 1'!$A$4:$AR$187,3,0)</f>
        <v>AUXILIAR DE SERVICIOS GENERALES</v>
      </c>
      <c r="E215" s="20"/>
      <c r="F215" s="9"/>
      <c r="G215" s="19"/>
      <c r="H215" s="18"/>
      <c r="I215" s="8"/>
      <c r="J215" s="9"/>
      <c r="K215" s="9"/>
      <c r="L215" s="9">
        <v>45307</v>
      </c>
      <c r="M215" s="8" t="s">
        <v>1</v>
      </c>
      <c r="N215" s="8"/>
      <c r="O215" s="8"/>
      <c r="P215" s="17"/>
      <c r="Q215" s="8"/>
      <c r="R215" s="5" t="s">
        <v>13</v>
      </c>
      <c r="S215" s="4">
        <f>WEEKNUM(L215)</f>
        <v>3</v>
      </c>
    </row>
    <row r="216" spans="1:19" x14ac:dyDescent="0.35">
      <c r="A216" s="22"/>
      <c r="B216" s="22" t="s">
        <v>12</v>
      </c>
      <c r="C216" s="21" t="s">
        <v>11</v>
      </c>
      <c r="D216" s="14" t="str">
        <f>VLOOKUP(RyS[[#This Row],[NOM]],'[1]Sheet 1'!$A$4:$AR$187,3,0)</f>
        <v>RESPONSABLE DE DOCUMENTACIÓN</v>
      </c>
      <c r="E216" s="20"/>
      <c r="F216" s="9"/>
      <c r="G216" s="19"/>
      <c r="H216" s="18"/>
      <c r="I216" s="8"/>
      <c r="J216" s="9"/>
      <c r="K216" s="9"/>
      <c r="L216" s="9">
        <v>45294</v>
      </c>
      <c r="M216" s="8" t="s">
        <v>1</v>
      </c>
      <c r="N216" s="8"/>
      <c r="O216" s="8"/>
      <c r="P216" s="17"/>
      <c r="Q216" s="8"/>
      <c r="R216" s="5" t="s">
        <v>10</v>
      </c>
      <c r="S216" s="4">
        <f>WEEKNUM(L216)</f>
        <v>1</v>
      </c>
    </row>
    <row r="217" spans="1:19" x14ac:dyDescent="0.35">
      <c r="A217" s="22"/>
      <c r="B217" s="22" t="s">
        <v>9</v>
      </c>
      <c r="C217" s="21" t="s">
        <v>8</v>
      </c>
      <c r="D217" s="14" t="str">
        <f>VLOOKUP(RyS[[#This Row],[NOM]],'[1]Sheet 1'!$A$4:$AR$187,3,0)</f>
        <v>AUXILIAR DE SERVICIOS GENERALES</v>
      </c>
      <c r="E217" s="20"/>
      <c r="F217" s="9"/>
      <c r="G217" s="19"/>
      <c r="H217" s="18"/>
      <c r="I217" s="8"/>
      <c r="J217" s="9"/>
      <c r="K217" s="9"/>
      <c r="L217" s="9">
        <v>45308</v>
      </c>
      <c r="M217" s="8" t="s">
        <v>1</v>
      </c>
      <c r="N217" s="8"/>
      <c r="O217" s="8"/>
      <c r="P217" s="17"/>
      <c r="Q217" s="8"/>
      <c r="R217" s="5" t="s">
        <v>7</v>
      </c>
      <c r="S217" s="4">
        <f>WEEKNUM(L217)</f>
        <v>3</v>
      </c>
    </row>
    <row r="218" spans="1:19" x14ac:dyDescent="0.35">
      <c r="A218" s="22"/>
      <c r="B218" s="22" t="s">
        <v>6</v>
      </c>
      <c r="C218" s="21" t="s">
        <v>5</v>
      </c>
      <c r="D218" s="14" t="str">
        <f>VLOOKUP(RyS[[#This Row],[NOM]],'[1]Sheet 1'!$A$4:$AR$187,3,0)</f>
        <v>AUXILIAR DE SERVICIOS GENERALES</v>
      </c>
      <c r="E218" s="20"/>
      <c r="F218" s="9"/>
      <c r="G218" s="19"/>
      <c r="H218" s="18"/>
      <c r="I218" s="8"/>
      <c r="J218" s="9"/>
      <c r="K218" s="9"/>
      <c r="L218" s="9">
        <v>45303</v>
      </c>
      <c r="M218" s="8" t="s">
        <v>1</v>
      </c>
      <c r="N218" s="8"/>
      <c r="O218" s="8"/>
      <c r="P218" s="17"/>
      <c r="Q218" s="8"/>
      <c r="R218" s="5" t="s">
        <v>4</v>
      </c>
      <c r="S218" s="4">
        <f>WEEKNUM(L218)</f>
        <v>2</v>
      </c>
    </row>
    <row r="219" spans="1:19" x14ac:dyDescent="0.35">
      <c r="A219" s="16"/>
      <c r="B219" s="16" t="s">
        <v>3</v>
      </c>
      <c r="C219" s="15" t="s">
        <v>2</v>
      </c>
      <c r="D219" s="14" t="str">
        <f>VLOOKUP(RyS[[#This Row],[NOM]],'[1]Sheet 1'!$A$4:$AR$187,3,0)</f>
        <v>AUXILIAR DE SERVICIOS GENERALES</v>
      </c>
      <c r="E219" s="13"/>
      <c r="F219" s="10"/>
      <c r="G219" s="12"/>
      <c r="H219" s="11"/>
      <c r="I219" s="6"/>
      <c r="J219" s="10"/>
      <c r="K219" s="10"/>
      <c r="L219" s="9">
        <v>45300</v>
      </c>
      <c r="M219" s="8" t="s">
        <v>1</v>
      </c>
      <c r="N219" s="6"/>
      <c r="O219" s="6"/>
      <c r="P219" s="7"/>
      <c r="Q219" s="6"/>
      <c r="R219" s="5" t="s">
        <v>0</v>
      </c>
      <c r="S219" s="4">
        <f>WEEKNUM(L219)</f>
        <v>2</v>
      </c>
    </row>
  </sheetData>
  <conditionalFormatting sqref="C2:C219">
    <cfRule type="duplicateValues" dxfId="0" priority="1"/>
  </conditionalFormatting>
  <dataValidations count="9">
    <dataValidation type="list" allowBlank="1" showErrorMessage="1" sqref="M37:M39 M49:M74" xr:uid="{D59BB7B0-CDFE-4238-AC02-F34908026485}">
      <formula1>"SEELECCION, DOCUMENTACION, ALTA, CONTRATADO, ENTREGADO, NO SHOW, DECLINADO"</formula1>
    </dataValidation>
    <dataValidation type="list" allowBlank="1" showErrorMessage="1" sqref="M2 M4:M36" xr:uid="{69D6FF90-D268-4764-83A2-20A55EA2DC7E}">
      <formula1>"SELECCION,DOCUMENTACION,ALTA,CONTRATADO,ENTREGADO,NO SHOW,DECLINADO"</formula1>
    </dataValidation>
    <dataValidation type="list" allowBlank="1" showErrorMessage="1" sqref="M3 M48" xr:uid="{50E6A58E-2B46-4106-BE1E-DD3D54BDFEE6}">
      <formula1>"SELECCION, DOCUMENTACION, ALTA, CONTRATADO, ENTREGADO, NO SHOW, DECLINADO"</formula1>
    </dataValidation>
    <dataValidation type="list" allowBlank="1" showErrorMessage="1" sqref="O2:O36" xr:uid="{ED3219EC-B92C-4170-BBA1-E032FA6F557D}">
      <formula1>"FBO,FBC,INDEED,CAMPO,REFERIDO,RECOMEINDA $"</formula1>
    </dataValidation>
    <dataValidation type="list" allowBlank="1" showErrorMessage="1" sqref="G2:G36" xr:uid="{5CC5AD39-1CBD-45A2-B23D-3B73D1D529A7}">
      <formula1>"10 A 30M,30M A 1HR,1HR O MAS"</formula1>
    </dataValidation>
    <dataValidation type="list" allowBlank="1" showErrorMessage="1" sqref="I2:I36" xr:uid="{75626155-B046-4575-B139-C3F5C9E00535}">
      <formula1>"SUFICIENTE,OPTIMO,DESTACADO"</formula1>
    </dataValidation>
    <dataValidation type="list" allowBlank="1" showInputMessage="1" showErrorMessage="1" sqref="G37:G48" xr:uid="{C65A8D95-4390-4EB6-93C0-1835A2EAB5A6}">
      <formula1>"10 A 30M, 30M A 1HR, 1HR O MAS"</formula1>
    </dataValidation>
    <dataValidation type="list" allowBlank="1" showInputMessage="1" showErrorMessage="1" sqref="O37:O74" xr:uid="{10AF5299-2CC7-4DF9-A7C4-20667AD53E09}">
      <formula1>"FBO, FBC, INDEED, CAMPO, REFERIDO, RECOMEINDA $"</formula1>
    </dataValidation>
    <dataValidation type="list" allowBlank="1" showInputMessage="1" showErrorMessage="1" sqref="I37:I74" xr:uid="{3C26A939-FAAE-4B30-914A-3E036F3FE6C6}">
      <formula1>"SUFICIENTE, OPTIMO, DESTACADO"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Luna</dc:creator>
  <cp:lastModifiedBy>Gonzalo Luna</cp:lastModifiedBy>
  <dcterms:created xsi:type="dcterms:W3CDTF">2026-06-07T03:45:32Z</dcterms:created>
  <dcterms:modified xsi:type="dcterms:W3CDTF">2026-06-07T03:46:02Z</dcterms:modified>
</cp:coreProperties>
</file>